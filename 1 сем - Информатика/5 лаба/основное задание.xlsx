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isch\Мой диск\ВУЗ\1 сем\Информатика\5 лаба\"/>
    </mc:Choice>
  </mc:AlternateContent>
  <xr:revisionPtr revIDLastSave="0" documentId="13_ncr:1_{7D688C4C-270D-4733-AA05-8F6CF303A8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Главная" sheetId="1" r:id="rId1"/>
    <sheet name="B1+B2" sheetId="3" r:id="rId2"/>
    <sheet name="B2+B3" sheetId="4" r:id="rId3"/>
    <sheet name="B2+B7" sheetId="5" r:id="rId4"/>
    <sheet name="B7+B8" sheetId="6" r:id="rId5"/>
    <sheet name="B8+B9" sheetId="7" r:id="rId6"/>
    <sheet name="B1+B8" sheetId="8" r:id="rId7"/>
    <sheet name="B11+B3" sheetId="9" r:id="rId8"/>
    <sheet name="Шаблон сложения двух чисел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G5" i="2"/>
  <c r="H5" i="2"/>
  <c r="I5" i="2"/>
  <c r="J5" i="2"/>
  <c r="K5" i="2"/>
  <c r="B8" i="2" s="1"/>
  <c r="L5" i="2"/>
  <c r="M5" i="2"/>
  <c r="N5" i="2"/>
  <c r="O5" i="2"/>
  <c r="P5" i="2"/>
  <c r="Q5" i="2"/>
  <c r="R5" i="2"/>
  <c r="B9" i="2"/>
  <c r="R2" i="2"/>
  <c r="B9" i="1"/>
  <c r="S4" i="1"/>
  <c r="R4" i="1" s="1"/>
  <c r="Q4" i="1" s="1"/>
  <c r="P4" i="1" s="1"/>
  <c r="O4" i="1" s="1"/>
  <c r="N4" i="1" s="1"/>
  <c r="M4" i="1" s="1"/>
  <c r="L4" i="1" s="1"/>
  <c r="K4" i="1" s="1"/>
  <c r="J4" i="1" s="1"/>
  <c r="I4" i="1" s="1"/>
  <c r="H4" i="1" s="1"/>
  <c r="G4" i="1" s="1"/>
  <c r="F4" i="1" s="1"/>
  <c r="E4" i="1" s="1"/>
  <c r="B13" i="1"/>
  <c r="B11" i="1"/>
  <c r="B7" i="1"/>
  <c r="B19" i="1" s="1"/>
  <c r="T19" i="1" s="1"/>
  <c r="B5" i="1"/>
  <c r="AL19" i="1" l="1"/>
  <c r="AL18" i="1" s="1"/>
  <c r="B23" i="1"/>
  <c r="P23" i="1" s="1"/>
  <c r="B25" i="1"/>
  <c r="Q2" i="2"/>
  <c r="E9" i="1"/>
  <c r="W9" i="1" s="1"/>
  <c r="B21" i="1"/>
  <c r="T9" i="1"/>
  <c r="AL9" i="1" s="1"/>
  <c r="AL8" i="1" s="1"/>
  <c r="S5" i="1"/>
  <c r="AK5" i="1" s="1"/>
  <c r="S9" i="1"/>
  <c r="AK9" i="1" s="1"/>
  <c r="P9" i="1"/>
  <c r="AH9" i="1" s="1"/>
  <c r="N9" i="1"/>
  <c r="AF9" i="1" s="1"/>
  <c r="L9" i="1"/>
  <c r="AD9" i="1" s="1"/>
  <c r="G19" i="1"/>
  <c r="H9" i="1"/>
  <c r="Z9" i="1" s="1"/>
  <c r="G13" i="1"/>
  <c r="Y13" i="1" s="1"/>
  <c r="F9" i="1"/>
  <c r="X9" i="1" s="1"/>
  <c r="G11" i="1"/>
  <c r="Y11" i="1" s="1"/>
  <c r="R9" i="1"/>
  <c r="AJ9" i="1" s="1"/>
  <c r="Q9" i="1"/>
  <c r="AI9" i="1" s="1"/>
  <c r="O9" i="1"/>
  <c r="AG9" i="1" s="1"/>
  <c r="M9" i="1"/>
  <c r="AE9" i="1" s="1"/>
  <c r="K9" i="1"/>
  <c r="AC9" i="1" s="1"/>
  <c r="J9" i="1"/>
  <c r="AB9" i="1" s="1"/>
  <c r="I9" i="1"/>
  <c r="AA9" i="1" s="1"/>
  <c r="G9" i="1"/>
  <c r="Y9" i="1" s="1"/>
  <c r="S19" i="1"/>
  <c r="T13" i="1"/>
  <c r="AL13" i="1" s="1"/>
  <c r="AL12" i="1" s="1"/>
  <c r="S13" i="1"/>
  <c r="AK13" i="1" s="1"/>
  <c r="T11" i="1"/>
  <c r="AL11" i="1" s="1"/>
  <c r="AL10" i="1" s="1"/>
  <c r="S11" i="1"/>
  <c r="AK11" i="1" s="1"/>
  <c r="E5" i="1"/>
  <c r="W5" i="1" s="1"/>
  <c r="F19" i="1"/>
  <c r="T7" i="1"/>
  <c r="AL7" i="1" s="1"/>
  <c r="AL6" i="1" s="1"/>
  <c r="S7" i="1"/>
  <c r="AK7" i="1" s="1"/>
  <c r="T5" i="1"/>
  <c r="AL5" i="1" s="1"/>
  <c r="AL4" i="1" s="1"/>
  <c r="E19" i="1"/>
  <c r="E11" i="1"/>
  <c r="W11" i="1" s="1"/>
  <c r="R19" i="1"/>
  <c r="R11" i="1"/>
  <c r="AJ11" i="1" s="1"/>
  <c r="R7" i="1"/>
  <c r="AJ7" i="1" s="1"/>
  <c r="Q11" i="1"/>
  <c r="AI11" i="1" s="1"/>
  <c r="Q7" i="1"/>
  <c r="AI7" i="1" s="1"/>
  <c r="P11" i="1"/>
  <c r="AH11" i="1" s="1"/>
  <c r="O19" i="1"/>
  <c r="J5" i="1"/>
  <c r="AB5" i="1" s="1"/>
  <c r="N19" i="1"/>
  <c r="N11" i="1"/>
  <c r="AF11" i="1" s="1"/>
  <c r="N7" i="1"/>
  <c r="AF7" i="1" s="1"/>
  <c r="K5" i="1"/>
  <c r="AC5" i="1" s="1"/>
  <c r="M19" i="1"/>
  <c r="M13" i="1"/>
  <c r="AE13" i="1" s="1"/>
  <c r="M11" i="1"/>
  <c r="AE11" i="1" s="1"/>
  <c r="M7" i="1"/>
  <c r="AE7" i="1" s="1"/>
  <c r="L5" i="1"/>
  <c r="AD5" i="1" s="1"/>
  <c r="E13" i="1"/>
  <c r="W13" i="1" s="1"/>
  <c r="E7" i="1"/>
  <c r="W7" i="1" s="1"/>
  <c r="F5" i="1"/>
  <c r="X5" i="1" s="1"/>
  <c r="R13" i="1"/>
  <c r="AJ13" i="1" s="1"/>
  <c r="G5" i="1"/>
  <c r="Y5" i="1" s="1"/>
  <c r="Q19" i="1"/>
  <c r="Q13" i="1"/>
  <c r="AI13" i="1" s="1"/>
  <c r="H5" i="1"/>
  <c r="Z5" i="1" s="1"/>
  <c r="P7" i="1"/>
  <c r="AH7" i="1" s="1"/>
  <c r="O13" i="1"/>
  <c r="AG13" i="1" s="1"/>
  <c r="N13" i="1"/>
  <c r="AF13" i="1" s="1"/>
  <c r="L13" i="1"/>
  <c r="AD13" i="1" s="1"/>
  <c r="K7" i="1"/>
  <c r="AC7" i="1" s="1"/>
  <c r="I19" i="1"/>
  <c r="I11" i="1"/>
  <c r="AA11" i="1" s="1"/>
  <c r="I7" i="1"/>
  <c r="AA7" i="1" s="1"/>
  <c r="P5" i="1"/>
  <c r="AH5" i="1" s="1"/>
  <c r="P19" i="1"/>
  <c r="P13" i="1"/>
  <c r="AH13" i="1" s="1"/>
  <c r="I5" i="1"/>
  <c r="AA5" i="1" s="1"/>
  <c r="O11" i="1"/>
  <c r="AG11" i="1" s="1"/>
  <c r="O7" i="1"/>
  <c r="AG7" i="1" s="1"/>
  <c r="L19" i="1"/>
  <c r="L11" i="1"/>
  <c r="AD11" i="1" s="1"/>
  <c r="L7" i="1"/>
  <c r="AD7" i="1" s="1"/>
  <c r="M5" i="1"/>
  <c r="AE5" i="1" s="1"/>
  <c r="K25" i="1"/>
  <c r="K23" i="1"/>
  <c r="K19" i="1"/>
  <c r="K13" i="1"/>
  <c r="AC13" i="1" s="1"/>
  <c r="K11" i="1"/>
  <c r="AC11" i="1" s="1"/>
  <c r="N5" i="1"/>
  <c r="AF5" i="1" s="1"/>
  <c r="J19" i="1"/>
  <c r="J13" i="1"/>
  <c r="AB13" i="1" s="1"/>
  <c r="J11" i="1"/>
  <c r="AB11" i="1" s="1"/>
  <c r="J7" i="1"/>
  <c r="AB7" i="1" s="1"/>
  <c r="O5" i="1"/>
  <c r="AG5" i="1" s="1"/>
  <c r="I13" i="1"/>
  <c r="AA13" i="1" s="1"/>
  <c r="H19" i="1"/>
  <c r="H13" i="1"/>
  <c r="Z13" i="1" s="1"/>
  <c r="H11" i="1"/>
  <c r="Z11" i="1" s="1"/>
  <c r="H7" i="1"/>
  <c r="Z7" i="1" s="1"/>
  <c r="Q5" i="1"/>
  <c r="AI5" i="1" s="1"/>
  <c r="B17" i="1"/>
  <c r="G7" i="1"/>
  <c r="Y7" i="1" s="1"/>
  <c r="R5" i="1"/>
  <c r="AJ5" i="1" s="1"/>
  <c r="F13" i="1"/>
  <c r="X13" i="1" s="1"/>
  <c r="F11" i="1"/>
  <c r="X11" i="1" s="1"/>
  <c r="F7" i="1"/>
  <c r="X7" i="1" s="1"/>
  <c r="B15" i="1"/>
  <c r="AK19" i="1" l="1"/>
  <c r="AK18" i="1" s="1"/>
  <c r="AJ19" i="1" s="1"/>
  <c r="AK12" i="1"/>
  <c r="AJ12" i="1" s="1"/>
  <c r="AI12" i="1" s="1"/>
  <c r="AH12" i="1" s="1"/>
  <c r="AG12" i="1" s="1"/>
  <c r="AF12" i="1" s="1"/>
  <c r="AE12" i="1" s="1"/>
  <c r="AD12" i="1" s="1"/>
  <c r="AC12" i="1" s="1"/>
  <c r="AB12" i="1" s="1"/>
  <c r="AA12" i="1" s="1"/>
  <c r="Z12" i="1" s="1"/>
  <c r="Y12" i="1" s="1"/>
  <c r="X12" i="1" s="1"/>
  <c r="S23" i="1"/>
  <c r="L23" i="1"/>
  <c r="N23" i="1"/>
  <c r="I23" i="1"/>
  <c r="Q23" i="1"/>
  <c r="H23" i="1"/>
  <c r="M23" i="1"/>
  <c r="E23" i="1"/>
  <c r="G23" i="1"/>
  <c r="AK6" i="1"/>
  <c r="AJ6" i="1" s="1"/>
  <c r="AI6" i="1" s="1"/>
  <c r="AH6" i="1" s="1"/>
  <c r="AG6" i="1" s="1"/>
  <c r="AF6" i="1" s="1"/>
  <c r="AE6" i="1" s="1"/>
  <c r="AD6" i="1" s="1"/>
  <c r="AC6" i="1" s="1"/>
  <c r="AB6" i="1" s="1"/>
  <c r="AA6" i="1" s="1"/>
  <c r="Z6" i="1" s="1"/>
  <c r="Y6" i="1" s="1"/>
  <c r="X6" i="1" s="1"/>
  <c r="O23" i="1"/>
  <c r="C3" i="5" a="1"/>
  <c r="C3" i="5" s="1"/>
  <c r="C3" i="4" a="1"/>
  <c r="C3" i="4" s="1"/>
  <c r="C4" i="3" a="1"/>
  <c r="C4" i="3" s="1"/>
  <c r="J23" i="1"/>
  <c r="R23" i="1"/>
  <c r="F23" i="1"/>
  <c r="T23" i="1"/>
  <c r="AL23" i="1" s="1"/>
  <c r="AL22" i="1" s="1"/>
  <c r="AK23" i="1" s="1"/>
  <c r="AK22" i="1" s="1"/>
  <c r="AJ23" i="1" s="1"/>
  <c r="AJ22" i="1" s="1"/>
  <c r="AI23" i="1" s="1"/>
  <c r="H25" i="1"/>
  <c r="T25" i="1"/>
  <c r="AL25" i="1" s="1"/>
  <c r="AK4" i="1"/>
  <c r="AJ4" i="1" s="1"/>
  <c r="AI4" i="1" s="1"/>
  <c r="AH4" i="1" s="1"/>
  <c r="AG4" i="1" s="1"/>
  <c r="AF4" i="1" s="1"/>
  <c r="AE4" i="1" s="1"/>
  <c r="AD4" i="1" s="1"/>
  <c r="AC4" i="1" s="1"/>
  <c r="AB4" i="1" s="1"/>
  <c r="AA4" i="1" s="1"/>
  <c r="Z4" i="1" s="1"/>
  <c r="Y4" i="1" s="1"/>
  <c r="X4" i="1" s="1"/>
  <c r="C4" i="9" a="1"/>
  <c r="C4" i="9" s="1"/>
  <c r="C4" i="4" a="1"/>
  <c r="E25" i="1"/>
  <c r="O25" i="1"/>
  <c r="AK10" i="1"/>
  <c r="AJ10" i="1" s="1"/>
  <c r="AI10" i="1" s="1"/>
  <c r="AH10" i="1" s="1"/>
  <c r="AG10" i="1" s="1"/>
  <c r="AF10" i="1" s="1"/>
  <c r="AE10" i="1" s="1"/>
  <c r="AD10" i="1" s="1"/>
  <c r="AC10" i="1" s="1"/>
  <c r="AB10" i="1" s="1"/>
  <c r="AA10" i="1" s="1"/>
  <c r="Z10" i="1" s="1"/>
  <c r="Y10" i="1" s="1"/>
  <c r="X10" i="1" s="1"/>
  <c r="L25" i="1"/>
  <c r="S25" i="1"/>
  <c r="N25" i="1"/>
  <c r="G17" i="1"/>
  <c r="R25" i="1"/>
  <c r="AK8" i="1"/>
  <c r="AJ8" i="1" s="1"/>
  <c r="AI8" i="1" s="1"/>
  <c r="AH8" i="1" s="1"/>
  <c r="AG8" i="1" s="1"/>
  <c r="AF8" i="1" s="1"/>
  <c r="AE8" i="1" s="1"/>
  <c r="AD8" i="1" s="1"/>
  <c r="AC8" i="1" s="1"/>
  <c r="AB8" i="1" s="1"/>
  <c r="AA8" i="1" s="1"/>
  <c r="Z8" i="1" s="1"/>
  <c r="Y8" i="1" s="1"/>
  <c r="X8" i="1" s="1"/>
  <c r="I25" i="1"/>
  <c r="G15" i="1"/>
  <c r="F25" i="1"/>
  <c r="L21" i="1"/>
  <c r="G25" i="1"/>
  <c r="P25" i="1"/>
  <c r="C3" i="8" a="1"/>
  <c r="C3" i="3" a="1"/>
  <c r="J25" i="1"/>
  <c r="M21" i="1"/>
  <c r="M25" i="1"/>
  <c r="Q25" i="1"/>
  <c r="P2" i="2"/>
  <c r="O2" i="2" s="1"/>
  <c r="T21" i="1"/>
  <c r="AL21" i="1" s="1"/>
  <c r="AL20" i="1" s="1"/>
  <c r="N21" i="1"/>
  <c r="E21" i="1"/>
  <c r="J21" i="1"/>
  <c r="O21" i="1"/>
  <c r="G21" i="1"/>
  <c r="P21" i="1"/>
  <c r="Q21" i="1"/>
  <c r="F21" i="1"/>
  <c r="H21" i="1"/>
  <c r="I21" i="1"/>
  <c r="R21" i="1"/>
  <c r="K21" i="1"/>
  <c r="S21" i="1"/>
  <c r="F17" i="1"/>
  <c r="H17" i="1"/>
  <c r="J17" i="1"/>
  <c r="K17" i="1"/>
  <c r="L17" i="1"/>
  <c r="N17" i="1"/>
  <c r="O17" i="1"/>
  <c r="I17" i="1"/>
  <c r="R17" i="1"/>
  <c r="E17" i="1"/>
  <c r="M17" i="1"/>
  <c r="P17" i="1"/>
  <c r="Q17" i="1"/>
  <c r="S17" i="1"/>
  <c r="T17" i="1"/>
  <c r="AL17" i="1" s="1"/>
  <c r="AL16" i="1" s="1"/>
  <c r="F15" i="1"/>
  <c r="H15" i="1"/>
  <c r="L15" i="1"/>
  <c r="I15" i="1"/>
  <c r="J15" i="1"/>
  <c r="K15" i="1"/>
  <c r="P15" i="1"/>
  <c r="M15" i="1"/>
  <c r="N15" i="1"/>
  <c r="O15" i="1"/>
  <c r="Q15" i="1"/>
  <c r="R15" i="1"/>
  <c r="S15" i="1"/>
  <c r="T15" i="1"/>
  <c r="AL15" i="1" s="1"/>
  <c r="AL14" i="1" s="1"/>
  <c r="AK15" i="1" s="1"/>
  <c r="AK14" i="1" s="1"/>
  <c r="AJ15" i="1" s="1"/>
  <c r="AJ14" i="1" s="1"/>
  <c r="E15" i="1"/>
  <c r="B27" i="1"/>
  <c r="AI15" i="1" l="1"/>
  <c r="AI14" i="1" s="1"/>
  <c r="AH15" i="1"/>
  <c r="AK21" i="1"/>
  <c r="AK20" i="1" s="1"/>
  <c r="AJ21" i="1" s="1"/>
  <c r="C3" i="8"/>
  <c r="C4" i="4"/>
  <c r="R5" i="4"/>
  <c r="R2" i="4"/>
  <c r="Q5" i="4" s="1"/>
  <c r="G27" i="1"/>
  <c r="AK17" i="1"/>
  <c r="AK16" i="1" s="1"/>
  <c r="AJ17" i="1" s="1"/>
  <c r="AJ16" i="1" s="1"/>
  <c r="AI17" i="1" s="1"/>
  <c r="AI16" i="1" s="1"/>
  <c r="AH17" i="1" s="1"/>
  <c r="AH16" i="1" s="1"/>
  <c r="AG17" i="1" s="1"/>
  <c r="AG16" i="1" s="1"/>
  <c r="AF17" i="1" s="1"/>
  <c r="AF16" i="1" s="1"/>
  <c r="AE17" i="1" s="1"/>
  <c r="AE16" i="1" s="1"/>
  <c r="AL24" i="1"/>
  <c r="AK25" i="1" s="1"/>
  <c r="AK24" i="1" s="1"/>
  <c r="AJ25" i="1" s="1"/>
  <c r="AJ24" i="1" s="1"/>
  <c r="AI25" i="1" s="1"/>
  <c r="AI24" i="1" s="1"/>
  <c r="AH25" i="1" s="1"/>
  <c r="AH24" i="1" s="1"/>
  <c r="AG25" i="1" s="1"/>
  <c r="AG24" i="1" s="1"/>
  <c r="C3" i="3"/>
  <c r="R5" i="3"/>
  <c r="R2" i="3"/>
  <c r="Q5" i="3" s="1"/>
  <c r="N2" i="2"/>
  <c r="AI22" i="1"/>
  <c r="AH23" i="1" s="1"/>
  <c r="AH22" i="1" s="1"/>
  <c r="AG23" i="1" s="1"/>
  <c r="AG22" i="1" s="1"/>
  <c r="AF23" i="1" s="1"/>
  <c r="AF22" i="1" s="1"/>
  <c r="AJ20" i="1"/>
  <c r="AI21" i="1" s="1"/>
  <c r="AJ18" i="1"/>
  <c r="AI19" i="1" s="1"/>
  <c r="F27" i="1"/>
  <c r="H27" i="1"/>
  <c r="I27" i="1"/>
  <c r="J27" i="1"/>
  <c r="K27" i="1"/>
  <c r="L27" i="1"/>
  <c r="N27" i="1"/>
  <c r="O27" i="1"/>
  <c r="R27" i="1"/>
  <c r="S27" i="1"/>
  <c r="M27" i="1"/>
  <c r="P27" i="1"/>
  <c r="Q27" i="1"/>
  <c r="T27" i="1"/>
  <c r="AL27" i="1" s="1"/>
  <c r="E27" i="1"/>
  <c r="Q2" i="4" l="1"/>
  <c r="Q2" i="3"/>
  <c r="P2" i="3" s="1"/>
  <c r="B9" i="3" s="1"/>
  <c r="AH14" i="1"/>
  <c r="AG15" i="1" s="1"/>
  <c r="AG14" i="1" s="1"/>
  <c r="AL26" i="1"/>
  <c r="AK27" i="1" s="1"/>
  <c r="AF15" i="1"/>
  <c r="M2" i="2"/>
  <c r="AI20" i="1"/>
  <c r="AH21" i="1" s="1"/>
  <c r="AI18" i="1"/>
  <c r="AH19" i="1" s="1"/>
  <c r="AD17" i="1"/>
  <c r="AD16" i="1" s="1"/>
  <c r="AE23" i="1"/>
  <c r="AE22" i="1" s="1"/>
  <c r="P5" i="3" l="1"/>
  <c r="O5" i="3"/>
  <c r="O2" i="3"/>
  <c r="P5" i="4"/>
  <c r="P2" i="4"/>
  <c r="AF14" i="1"/>
  <c r="AE15" i="1"/>
  <c r="AE14" i="1" s="1"/>
  <c r="AK26" i="1"/>
  <c r="L2" i="2"/>
  <c r="AH20" i="1"/>
  <c r="AG21" i="1" s="1"/>
  <c r="AH18" i="1"/>
  <c r="AG19" i="1" s="1"/>
  <c r="AG18" i="1" s="1"/>
  <c r="AF19" i="1" s="1"/>
  <c r="AF18" i="1" s="1"/>
  <c r="AE19" i="1" s="1"/>
  <c r="AE18" i="1" s="1"/>
  <c r="AD19" i="1" s="1"/>
  <c r="AD18" i="1" s="1"/>
  <c r="AC19" i="1" s="1"/>
  <c r="AC18" i="1" s="1"/>
  <c r="AF25" i="1"/>
  <c r="AF24" i="1" s="1"/>
  <c r="AE25" i="1" s="1"/>
  <c r="AE24" i="1" s="1"/>
  <c r="AC17" i="1"/>
  <c r="AC16" i="1" s="1"/>
  <c r="AD23" i="1"/>
  <c r="AD22" i="1" s="1"/>
  <c r="B9" i="4" l="1"/>
  <c r="O5" i="4"/>
  <c r="O2" i="4"/>
  <c r="N2" i="3"/>
  <c r="N5" i="3"/>
  <c r="AJ27" i="1"/>
  <c r="AJ26" i="1" s="1"/>
  <c r="AI27" i="1" s="1"/>
  <c r="AI26" i="1" s="1"/>
  <c r="AH27" i="1" s="1"/>
  <c r="AH26" i="1" s="1"/>
  <c r="AG27" i="1" s="1"/>
  <c r="AG26" i="1" s="1"/>
  <c r="AD15" i="1"/>
  <c r="AD14" i="1" s="1"/>
  <c r="K2" i="2"/>
  <c r="AG20" i="1"/>
  <c r="AF21" i="1" s="1"/>
  <c r="AC23" i="1"/>
  <c r="AC22" i="1" s="1"/>
  <c r="AB19" i="1"/>
  <c r="AB18" i="1" s="1"/>
  <c r="M5" i="3" l="1"/>
  <c r="M2" i="3"/>
  <c r="N5" i="4"/>
  <c r="N2" i="4"/>
  <c r="AF27" i="1"/>
  <c r="AF26" i="1" s="1"/>
  <c r="AC15" i="1"/>
  <c r="AC14" i="1" s="1"/>
  <c r="J2" i="2"/>
  <c r="AF20" i="1"/>
  <c r="AE21" i="1" s="1"/>
  <c r="AE20" i="1" s="1"/>
  <c r="AD21" i="1" s="1"/>
  <c r="AD20" i="1" s="1"/>
  <c r="AC21" i="1" s="1"/>
  <c r="AC20" i="1" s="1"/>
  <c r="AB21" i="1" s="1"/>
  <c r="AB20" i="1" s="1"/>
  <c r="AA21" i="1" s="1"/>
  <c r="AA20" i="1" s="1"/>
  <c r="Z21" i="1" s="1"/>
  <c r="Z20" i="1" s="1"/>
  <c r="Y21" i="1" s="1"/>
  <c r="Y20" i="1" s="1"/>
  <c r="AD25" i="1"/>
  <c r="AB17" i="1"/>
  <c r="AB16" i="1" s="1"/>
  <c r="AA17" i="1" s="1"/>
  <c r="AA16" i="1" s="1"/>
  <c r="AB23" i="1"/>
  <c r="AB22" i="1" s="1"/>
  <c r="AA19" i="1"/>
  <c r="AA18" i="1" s="1"/>
  <c r="L5" i="3" l="1"/>
  <c r="L2" i="3"/>
  <c r="M5" i="4"/>
  <c r="M2" i="4"/>
  <c r="AE27" i="1"/>
  <c r="AE26" i="1" s="1"/>
  <c r="AD27" i="1" s="1"/>
  <c r="AD26" i="1" s="1"/>
  <c r="AC27" i="1" s="1"/>
  <c r="AC26" i="1" s="1"/>
  <c r="AB27" i="1" s="1"/>
  <c r="AB26" i="1" s="1"/>
  <c r="AA27" i="1" s="1"/>
  <c r="AA26" i="1" s="1"/>
  <c r="Z27" i="1" s="1"/>
  <c r="Z26" i="1" s="1"/>
  <c r="AB15" i="1"/>
  <c r="AB14" i="1" s="1"/>
  <c r="I2" i="2"/>
  <c r="AD24" i="1"/>
  <c r="AC25" i="1" s="1"/>
  <c r="AC24" i="1" s="1"/>
  <c r="Z17" i="1"/>
  <c r="Z16" i="1" s="1"/>
  <c r="AA23" i="1"/>
  <c r="AA22" i="1" s="1"/>
  <c r="X21" i="1"/>
  <c r="X20" i="1" s="1"/>
  <c r="Z19" i="1"/>
  <c r="Z18" i="1" s="1"/>
  <c r="L5" i="4" l="1"/>
  <c r="L2" i="4"/>
  <c r="K5" i="3"/>
  <c r="B8" i="3" s="1"/>
  <c r="K2" i="3"/>
  <c r="AA15" i="1"/>
  <c r="AA14" i="1" s="1"/>
  <c r="H2" i="2"/>
  <c r="AB25" i="1"/>
  <c r="AB24" i="1" s="1"/>
  <c r="AA25" i="1"/>
  <c r="AA24" i="1" s="1"/>
  <c r="Y17" i="1"/>
  <c r="Y16" i="1" s="1"/>
  <c r="Y27" i="1"/>
  <c r="Y26" i="1" s="1"/>
  <c r="W21" i="1"/>
  <c r="C4" i="7" s="1" a="1"/>
  <c r="Z23" i="1"/>
  <c r="Z22" i="1" s="1"/>
  <c r="Y19" i="1"/>
  <c r="Y18" i="1" s="1"/>
  <c r="J2" i="3" l="1"/>
  <c r="J5" i="3"/>
  <c r="K5" i="4"/>
  <c r="B8" i="4" s="1"/>
  <c r="K2" i="4"/>
  <c r="Z15" i="1"/>
  <c r="Z14" i="1" s="1"/>
  <c r="C4" i="7"/>
  <c r="G2" i="2"/>
  <c r="X17" i="1"/>
  <c r="X16" i="1" s="1"/>
  <c r="Y23" i="1"/>
  <c r="Y22" i="1" s="1"/>
  <c r="X19" i="1"/>
  <c r="X18" i="1" s="1"/>
  <c r="J2" i="4" l="1"/>
  <c r="J5" i="4"/>
  <c r="I5" i="3"/>
  <c r="I2" i="3"/>
  <c r="Y15" i="1"/>
  <c r="Y14" i="1" s="1"/>
  <c r="F2" i="2"/>
  <c r="E5" i="2" s="1"/>
  <c r="Z25" i="1"/>
  <c r="W17" i="1"/>
  <c r="X27" i="1"/>
  <c r="X26" i="1" s="1"/>
  <c r="W27" i="1"/>
  <c r="X23" i="1"/>
  <c r="X22" i="1" s="1"/>
  <c r="W19" i="1"/>
  <c r="H5" i="3" l="1"/>
  <c r="H2" i="3"/>
  <c r="I2" i="4"/>
  <c r="I5" i="4"/>
  <c r="C4" i="8" a="1"/>
  <c r="C3" i="7" a="1"/>
  <c r="C4" i="6" a="1"/>
  <c r="C4" i="6" s="1"/>
  <c r="X15" i="1"/>
  <c r="X14" i="1" s="1"/>
  <c r="W15" i="1" s="1"/>
  <c r="C4" i="5" a="1"/>
  <c r="C3" i="6" a="1"/>
  <c r="E2" i="2"/>
  <c r="D5" i="2" s="1"/>
  <c r="Z24" i="1"/>
  <c r="Y25" i="1" s="1"/>
  <c r="Y24" i="1" s="1"/>
  <c r="W23" i="1"/>
  <c r="H5" i="4" l="1"/>
  <c r="H2" i="4"/>
  <c r="G5" i="3"/>
  <c r="G2" i="3"/>
  <c r="C3" i="7"/>
  <c r="R5" i="7"/>
  <c r="R2" i="7"/>
  <c r="Q5" i="7" s="1"/>
  <c r="Q2" i="7"/>
  <c r="P5" i="7"/>
  <c r="P2" i="7"/>
  <c r="B9" i="7" s="1"/>
  <c r="O2" i="7"/>
  <c r="N2" i="7" s="1"/>
  <c r="N5" i="7"/>
  <c r="C4" i="8"/>
  <c r="R5" i="8"/>
  <c r="R2" i="8"/>
  <c r="Q5" i="8" s="1"/>
  <c r="Q2" i="8"/>
  <c r="P5" i="8" s="1"/>
  <c r="C4" i="5"/>
  <c r="R5" i="5"/>
  <c r="R2" i="5"/>
  <c r="Q5" i="5" s="1"/>
  <c r="Q2" i="5"/>
  <c r="P5" i="5"/>
  <c r="P2" i="5"/>
  <c r="B9" i="5" s="1"/>
  <c r="O5" i="5"/>
  <c r="C3" i="6"/>
  <c r="R2" i="6"/>
  <c r="Q5" i="6" s="1"/>
  <c r="Q2" i="6"/>
  <c r="P5" i="6" s="1"/>
  <c r="R5" i="6"/>
  <c r="D2" i="2"/>
  <c r="C5" i="2" s="1"/>
  <c r="X25" i="1"/>
  <c r="F2" i="3" l="1"/>
  <c r="F5" i="3"/>
  <c r="G5" i="4"/>
  <c r="G2" i="4"/>
  <c r="P2" i="8"/>
  <c r="M2" i="7"/>
  <c r="M5" i="7"/>
  <c r="O2" i="5"/>
  <c r="O5" i="7"/>
  <c r="P2" i="6"/>
  <c r="O2" i="6" s="1"/>
  <c r="O5" i="6"/>
  <c r="B9" i="6"/>
  <c r="B11" i="2"/>
  <c r="B10" i="2"/>
  <c r="C2" i="2"/>
  <c r="X24" i="1"/>
  <c r="W25" i="1" s="1"/>
  <c r="C3" i="9" s="1" a="1"/>
  <c r="B9" i="8" l="1"/>
  <c r="O5" i="8"/>
  <c r="O2" i="8"/>
  <c r="F5" i="4"/>
  <c r="F2" i="4"/>
  <c r="E5" i="3"/>
  <c r="E2" i="3"/>
  <c r="L2" i="7"/>
  <c r="L5" i="7"/>
  <c r="N5" i="5"/>
  <c r="N2" i="5"/>
  <c r="N5" i="6"/>
  <c r="N2" i="6"/>
  <c r="C3" i="9"/>
  <c r="R5" i="9"/>
  <c r="R2" i="9"/>
  <c r="Q5" i="9" s="1"/>
  <c r="B7" i="2"/>
  <c r="B12" i="2"/>
  <c r="Q2" i="9" l="1"/>
  <c r="P2" i="9" s="1"/>
  <c r="B9" i="9" s="1"/>
  <c r="E5" i="4"/>
  <c r="E2" i="4"/>
  <c r="D2" i="3"/>
  <c r="D5" i="3"/>
  <c r="N5" i="8"/>
  <c r="N2" i="8"/>
  <c r="M5" i="5"/>
  <c r="M2" i="5"/>
  <c r="K5" i="7"/>
  <c r="B8" i="7" s="1"/>
  <c r="K2" i="7"/>
  <c r="P5" i="9"/>
  <c r="M5" i="6"/>
  <c r="M2" i="6"/>
  <c r="O5" i="9"/>
  <c r="O2" i="9"/>
  <c r="M5" i="8" l="1"/>
  <c r="M2" i="8"/>
  <c r="C2" i="3"/>
  <c r="C5" i="3"/>
  <c r="D5" i="4"/>
  <c r="D2" i="4"/>
  <c r="J5" i="7"/>
  <c r="J2" i="7"/>
  <c r="L5" i="5"/>
  <c r="L2" i="5"/>
  <c r="L5" i="6"/>
  <c r="L2" i="6"/>
  <c r="N5" i="9"/>
  <c r="N2" i="9"/>
  <c r="B11" i="3" l="1"/>
  <c r="B10" i="3"/>
  <c r="L5" i="8"/>
  <c r="L2" i="8"/>
  <c r="C2" i="4"/>
  <c r="C5" i="4"/>
  <c r="B12" i="3"/>
  <c r="B7" i="3"/>
  <c r="I5" i="7"/>
  <c r="I2" i="7"/>
  <c r="K5" i="5"/>
  <c r="B8" i="5" s="1"/>
  <c r="K2" i="5"/>
  <c r="K2" i="6"/>
  <c r="K5" i="6"/>
  <c r="B8" i="6" s="1"/>
  <c r="M5" i="9"/>
  <c r="M2" i="9"/>
  <c r="B12" i="4" l="1"/>
  <c r="B7" i="4"/>
  <c r="B11" i="4"/>
  <c r="B10" i="4"/>
  <c r="K2" i="8"/>
  <c r="K5" i="8"/>
  <c r="B8" i="8" s="1"/>
  <c r="J5" i="5"/>
  <c r="J2" i="5"/>
  <c r="H5" i="7"/>
  <c r="H2" i="7"/>
  <c r="J2" i="6"/>
  <c r="J5" i="6"/>
  <c r="L2" i="9"/>
  <c r="L5" i="9"/>
  <c r="J5" i="8" l="1"/>
  <c r="J2" i="8"/>
  <c r="G5" i="7"/>
  <c r="G2" i="7"/>
  <c r="I5" i="5"/>
  <c r="I2" i="5"/>
  <c r="I2" i="6"/>
  <c r="I5" i="6"/>
  <c r="K2" i="9"/>
  <c r="K5" i="9"/>
  <c r="B8" i="9" s="1"/>
  <c r="I5" i="8" l="1"/>
  <c r="I2" i="8"/>
  <c r="H2" i="5"/>
  <c r="H5" i="5"/>
  <c r="F5" i="7"/>
  <c r="F2" i="7"/>
  <c r="H5" i="6"/>
  <c r="H2" i="6"/>
  <c r="J5" i="9"/>
  <c r="J2" i="9"/>
  <c r="H5" i="8" l="1"/>
  <c r="H2" i="8"/>
  <c r="E5" i="7"/>
  <c r="E2" i="7"/>
  <c r="G5" i="5"/>
  <c r="G2" i="5"/>
  <c r="G2" i="6"/>
  <c r="G5" i="6"/>
  <c r="I2" i="9"/>
  <c r="I5" i="9"/>
  <c r="G5" i="8" l="1"/>
  <c r="G2" i="8"/>
  <c r="F2" i="5"/>
  <c r="F5" i="5"/>
  <c r="D5" i="7"/>
  <c r="D2" i="7"/>
  <c r="F5" i="6"/>
  <c r="F2" i="6"/>
  <c r="H5" i="9"/>
  <c r="H2" i="9"/>
  <c r="F2" i="8" l="1"/>
  <c r="F5" i="8"/>
  <c r="C5" i="7"/>
  <c r="C2" i="7"/>
  <c r="E5" i="5"/>
  <c r="E2" i="5"/>
  <c r="E2" i="6"/>
  <c r="E5" i="6"/>
  <c r="G5" i="9"/>
  <c r="G2" i="9"/>
  <c r="E2" i="8" l="1"/>
  <c r="E5" i="8"/>
  <c r="D5" i="5"/>
  <c r="D2" i="5"/>
  <c r="B7" i="7"/>
  <c r="B12" i="7"/>
  <c r="B10" i="7"/>
  <c r="B11" i="7"/>
  <c r="D2" i="6"/>
  <c r="D5" i="6"/>
  <c r="F2" i="9"/>
  <c r="F5" i="9"/>
  <c r="D2" i="8" l="1"/>
  <c r="D5" i="8"/>
  <c r="C5" i="5"/>
  <c r="C2" i="5"/>
  <c r="C5" i="6"/>
  <c r="C2" i="6"/>
  <c r="E5" i="9"/>
  <c r="E2" i="9"/>
  <c r="C5" i="8" l="1"/>
  <c r="C2" i="8"/>
  <c r="B12" i="5"/>
  <c r="B7" i="5"/>
  <c r="B11" i="5"/>
  <c r="B10" i="5"/>
  <c r="B12" i="6"/>
  <c r="B7" i="6"/>
  <c r="B10" i="6"/>
  <c r="B11" i="6"/>
  <c r="D5" i="9"/>
  <c r="D2" i="9"/>
  <c r="B7" i="8" l="1"/>
  <c r="B12" i="8"/>
  <c r="B11" i="8"/>
  <c r="B10" i="8"/>
  <c r="C5" i="9"/>
  <c r="C2" i="9"/>
  <c r="B10" i="9" l="1"/>
  <c r="B11" i="9"/>
  <c r="B12" i="9"/>
  <c r="B7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<sst xmlns="http://schemas.openxmlformats.org/spreadsheetml/2006/main" count="122" uniqueCount="39">
  <si>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</si>
  <si>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</si>
  <si>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</si>
  <si>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</si>
  <si>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</si>
  <si>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</si>
  <si>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</si>
  <si>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</si>
  <si>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</si>
  <si>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</si>
  <si>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Х11</t>
  </si>
  <si>
    <t>Х12</t>
  </si>
  <si>
    <t>A</t>
  </si>
  <si>
    <t>C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</si>
  <si>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</si>
  <si>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</si>
  <si>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</si>
  <si>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</si>
  <si>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</si>
  <si>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</si>
  <si>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</si>
  <si>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</si>
  <si>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</si>
  <si>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</si>
  <si>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</si>
  <si>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</si>
  <si>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Перевод модуля</t>
  </si>
  <si>
    <t>Доп код</t>
  </si>
  <si>
    <t>переносы</t>
  </si>
  <si>
    <t>ОДЗ</t>
  </si>
  <si>
    <t xml:space="preserve"> [-2**15; 2**15 - 1]</t>
  </si>
  <si>
    <t>B</t>
  </si>
  <si>
    <t>A + B</t>
  </si>
  <si>
    <t>CF</t>
  </si>
  <si>
    <t>PF</t>
  </si>
  <si>
    <t>AF</t>
  </si>
  <si>
    <t>ZF</t>
  </si>
  <si>
    <t>SF</t>
  </si>
  <si>
    <t>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</si>
</sst>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3" fontId="1" fillId="0" borderId="0" xfId="0" applyNumberFormat="1" applyFont="1"/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6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6"/>
  <sheetViews>
    <sheetView tabSelected="1" zoomScale="85" zoomScaleNormal="85" zoomScalePageLayoutView="40" workbookViewId="0">
      <selection activeCell="Z34" sqref="Z34"/>
    </sheetView>
  </sheetViews>
  <sheetFormatPr defaultRowHeight="14.4" x14ac:dyDescent="0.3"/>
  <cols>
    <col min="1" max="1" width="9.109375" bestFit="1" customWidth="1"/>
    <col min="3" max="3" width="17.21875" bestFit="1" customWidth="1"/>
    <col min="5" max="21" width="3.77734375" customWidth="1"/>
    <col min="22" max="22" width="9.21875" customWidth="1"/>
    <col min="23" max="37" width="3.77734375" customWidth="1"/>
    <col min="38" max="39" width="3.6640625" customWidth="1"/>
  </cols>
  <sheetData>
    <row r="1" spans="1:39" x14ac:dyDescent="0.3">
      <c r="A1" s="2" t="s">
        <v>12</v>
      </c>
      <c r="B1">
        <v>11101</v>
      </c>
    </row>
    <row r="2" spans="1:39" x14ac:dyDescent="0.3">
      <c r="E2" t="s">
        <v>26</v>
      </c>
      <c r="W2" t="s">
        <v>27</v>
      </c>
    </row>
    <row r="3" spans="1:39" x14ac:dyDescent="0.3">
      <c r="A3" s="2" t="s">
        <v>13</v>
      </c>
      <c r="B3">
        <v>18615</v>
      </c>
    </row>
    <row r="4" spans="1:39" x14ac:dyDescent="0.3">
      <c r="A4" s="1"/>
      <c r="E4">
        <f t="shared" ref="E4:R4" si="0">F4*2</f>
        <v>32768</v>
      </c>
      <c r="F4">
        <f t="shared" si="0"/>
        <v>16384</v>
      </c>
      <c r="G4">
        <f t="shared" si="0"/>
        <v>8192</v>
      </c>
      <c r="H4">
        <f t="shared" si="0"/>
        <v>4096</v>
      </c>
      <c r="I4">
        <f t="shared" si="0"/>
        <v>2048</v>
      </c>
      <c r="J4">
        <f t="shared" si="0"/>
        <v>1024</v>
      </c>
      <c r="K4">
        <f t="shared" si="0"/>
        <v>512</v>
      </c>
      <c r="L4">
        <f t="shared" si="0"/>
        <v>256</v>
      </c>
      <c r="M4">
        <f t="shared" si="0"/>
        <v>128</v>
      </c>
      <c r="N4">
        <f t="shared" si="0"/>
        <v>64</v>
      </c>
      <c r="O4">
        <f t="shared" si="0"/>
        <v>32</v>
      </c>
      <c r="P4">
        <f t="shared" si="0"/>
        <v>16</v>
      </c>
      <c r="Q4">
        <f t="shared" si="0"/>
        <v>8</v>
      </c>
      <c r="R4">
        <f t="shared" si="0"/>
        <v>4</v>
      </c>
      <c r="S4">
        <f>T4*2</f>
        <v>2</v>
      </c>
      <c r="T4">
        <v>1</v>
      </c>
      <c r="V4" t="s">
        <v>28</v>
      </c>
      <c r="X4">
        <f t="shared" ref="X4:AK4" si="1">IF((1-X5)+Y4=2,1,0)</f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>IF((1-AL5)+AM4=2,1,0)</f>
        <v>0</v>
      </c>
      <c r="AM4">
        <v>1</v>
      </c>
    </row>
    <row r="5" spans="1:39" x14ac:dyDescent="0.3">
      <c r="A5" s="2" t="s">
        <v>0</v>
      </c>
      <c r="B5">
        <f>B1</f>
        <v>11101</v>
      </c>
      <c r="D5" s="2" t="s">
        <v>14</v>
      </c>
      <c r="E5" s="3">
        <f t="shared" ref="E5:S5" si="2">IF(QUOTIENT(ABS($B5),E$4)&lt;&gt;0,MOD(QUOTIENT(ABS($B5),E$4),2),0)</f>
        <v>0</v>
      </c>
      <c r="F5" s="3">
        <f t="shared" si="2"/>
        <v>0</v>
      </c>
      <c r="G5" s="3">
        <f t="shared" si="2"/>
        <v>1</v>
      </c>
      <c r="H5" s="3">
        <f t="shared" si="2"/>
        <v>0</v>
      </c>
      <c r="I5" s="4">
        <f t="shared" si="2"/>
        <v>1</v>
      </c>
      <c r="J5" s="4">
        <f t="shared" si="2"/>
        <v>0</v>
      </c>
      <c r="K5" s="4">
        <f t="shared" si="2"/>
        <v>1</v>
      </c>
      <c r="L5" s="4">
        <f t="shared" si="2"/>
        <v>1</v>
      </c>
      <c r="M5" s="5">
        <f t="shared" si="2"/>
        <v>0</v>
      </c>
      <c r="N5" s="5">
        <f t="shared" si="2"/>
        <v>1</v>
      </c>
      <c r="O5" s="5">
        <f t="shared" si="2"/>
        <v>0</v>
      </c>
      <c r="P5" s="5">
        <f t="shared" si="2"/>
        <v>1</v>
      </c>
      <c r="Q5" s="6">
        <f t="shared" si="2"/>
        <v>1</v>
      </c>
      <c r="R5" s="6">
        <f t="shared" si="2"/>
        <v>1</v>
      </c>
      <c r="S5" s="6">
        <f t="shared" si="2"/>
        <v>0</v>
      </c>
      <c r="T5" s="7">
        <f>MOD(QUOTIENT(ABS($B5),T$4),2)</f>
        <v>1</v>
      </c>
      <c r="U5" s="1"/>
      <c r="W5" s="3">
        <f t="shared" ref="W5:AK5" si="3">IF($B5&gt;=0,E5,MOD((1-E5)+X4,2))</f>
        <v>0</v>
      </c>
      <c r="X5" s="3">
        <f t="shared" si="3"/>
        <v>0</v>
      </c>
      <c r="Y5" s="3">
        <f t="shared" si="3"/>
        <v>1</v>
      </c>
      <c r="Z5" s="3">
        <f t="shared" si="3"/>
        <v>0</v>
      </c>
      <c r="AA5" s="4">
        <f t="shared" si="3"/>
        <v>1</v>
      </c>
      <c r="AB5" s="4">
        <f t="shared" si="3"/>
        <v>0</v>
      </c>
      <c r="AC5" s="4">
        <f t="shared" si="3"/>
        <v>1</v>
      </c>
      <c r="AD5" s="4">
        <f t="shared" si="3"/>
        <v>1</v>
      </c>
      <c r="AE5" s="5">
        <f t="shared" si="3"/>
        <v>0</v>
      </c>
      <c r="AF5" s="5">
        <f t="shared" si="3"/>
        <v>1</v>
      </c>
      <c r="AG5" s="5">
        <f t="shared" si="3"/>
        <v>0</v>
      </c>
      <c r="AH5" s="5">
        <f t="shared" si="3"/>
        <v>1</v>
      </c>
      <c r="AI5" s="6">
        <f t="shared" si="3"/>
        <v>1</v>
      </c>
      <c r="AJ5" s="6">
        <f t="shared" si="3"/>
        <v>1</v>
      </c>
      <c r="AK5" s="6">
        <f t="shared" si="3"/>
        <v>0</v>
      </c>
      <c r="AL5" s="7">
        <f>IF($B5&gt;=0,T5,MOD((1-T5)+AM4,2))</f>
        <v>1</v>
      </c>
    </row>
    <row r="6" spans="1:39" x14ac:dyDescent="0.3">
      <c r="A6" s="1"/>
      <c r="D6" s="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  <c r="U6" s="1"/>
      <c r="V6" t="s">
        <v>28</v>
      </c>
      <c r="X6">
        <f t="shared" ref="X6" si="4">IF((1-X7)+Y6=2,1,0)</f>
        <v>0</v>
      </c>
      <c r="Y6">
        <f t="shared" ref="Y6" si="5">IF((1-Y7)+Z6=2,1,0)</f>
        <v>0</v>
      </c>
      <c r="Z6">
        <f t="shared" ref="Z6" si="6">IF((1-Z7)+AA6=2,1,0)</f>
        <v>0</v>
      </c>
      <c r="AA6">
        <f t="shared" ref="AA6" si="7">IF((1-AA7)+AB6=2,1,0)</f>
        <v>0</v>
      </c>
      <c r="AB6">
        <f t="shared" ref="AB6" si="8">IF((1-AB7)+AC6=2,1,0)</f>
        <v>0</v>
      </c>
      <c r="AC6">
        <f t="shared" ref="AC6" si="9">IF((1-AC7)+AD6=2,1,0)</f>
        <v>0</v>
      </c>
      <c r="AD6">
        <f t="shared" ref="AD6" si="10">IF((1-AD7)+AE6=2,1,0)</f>
        <v>0</v>
      </c>
      <c r="AE6">
        <f t="shared" ref="AE6" si="11">IF((1-AE7)+AF6=2,1,0)</f>
        <v>0</v>
      </c>
      <c r="AF6">
        <f t="shared" ref="AF6" si="12">IF((1-AF7)+AG6=2,1,0)</f>
        <v>0</v>
      </c>
      <c r="AG6">
        <f t="shared" ref="AG6" si="13">IF((1-AG7)+AH6=2,1,0)</f>
        <v>0</v>
      </c>
      <c r="AH6">
        <f t="shared" ref="AH6" si="14">IF((1-AH7)+AI6=2,1,0)</f>
        <v>0</v>
      </c>
      <c r="AI6">
        <f t="shared" ref="AI6" si="15">IF((1-AI7)+AJ6=2,1,0)</f>
        <v>0</v>
      </c>
      <c r="AJ6">
        <f t="shared" ref="AJ6" si="16">IF((1-AJ7)+AK6=2,1,0)</f>
        <v>0</v>
      </c>
      <c r="AK6">
        <f t="shared" ref="AK6" si="17">IF((1-AK7)+AL6=2,1,0)</f>
        <v>0</v>
      </c>
      <c r="AL6">
        <f>IF((1-AL7)+AM6=2,1,0)</f>
        <v>0</v>
      </c>
      <c r="AM6">
        <v>1</v>
      </c>
    </row>
    <row r="7" spans="1:39" x14ac:dyDescent="0.3">
      <c r="A7" s="2" t="s">
        <v>1</v>
      </c>
      <c r="B7">
        <f>B3</f>
        <v>18615</v>
      </c>
      <c r="D7" s="2" t="s">
        <v>15</v>
      </c>
      <c r="E7" s="3">
        <f t="shared" ref="E7:S27" si="18">IF(QUOTIENT(ABS($B7),E$4)&lt;&gt;0,MOD(QUOTIENT(ABS($B7),E$4),2),0)</f>
        <v>0</v>
      </c>
      <c r="F7" s="3">
        <f t="shared" si="18"/>
        <v>1</v>
      </c>
      <c r="G7" s="3">
        <f t="shared" si="18"/>
        <v>0</v>
      </c>
      <c r="H7" s="3">
        <f t="shared" si="18"/>
        <v>0</v>
      </c>
      <c r="I7" s="4">
        <f t="shared" si="18"/>
        <v>1</v>
      </c>
      <c r="J7" s="4">
        <f t="shared" si="18"/>
        <v>0</v>
      </c>
      <c r="K7" s="4">
        <f t="shared" si="18"/>
        <v>0</v>
      </c>
      <c r="L7" s="4">
        <f t="shared" si="18"/>
        <v>0</v>
      </c>
      <c r="M7" s="5">
        <f t="shared" si="18"/>
        <v>1</v>
      </c>
      <c r="N7" s="5">
        <f t="shared" si="18"/>
        <v>0</v>
      </c>
      <c r="O7" s="5">
        <f t="shared" si="18"/>
        <v>1</v>
      </c>
      <c r="P7" s="5">
        <f t="shared" si="18"/>
        <v>1</v>
      </c>
      <c r="Q7" s="6">
        <f t="shared" si="18"/>
        <v>0</v>
      </c>
      <c r="R7" s="6">
        <f t="shared" si="18"/>
        <v>1</v>
      </c>
      <c r="S7" s="6">
        <f t="shared" si="18"/>
        <v>1</v>
      </c>
      <c r="T7" s="7">
        <f t="shared" ref="T7:T27" si="19">MOD(QUOTIENT(ABS($B7),T$4),2)</f>
        <v>1</v>
      </c>
      <c r="U7" s="1"/>
      <c r="W7" s="3">
        <f t="shared" ref="W7" si="20">IF($B7&gt;=0,E7,MOD((1-E7)+X6,2))</f>
        <v>0</v>
      </c>
      <c r="X7" s="3">
        <f t="shared" ref="X7" si="21">IF($B7&gt;=0,F7,MOD((1-F7)+Y6,2))</f>
        <v>1</v>
      </c>
      <c r="Y7" s="3">
        <f t="shared" ref="Y7" si="22">IF($B7&gt;=0,G7,MOD((1-G7)+Z6,2))</f>
        <v>0</v>
      </c>
      <c r="Z7" s="3">
        <f t="shared" ref="Z7" si="23">IF($B7&gt;=0,H7,MOD((1-H7)+AA6,2))</f>
        <v>0</v>
      </c>
      <c r="AA7" s="4">
        <f t="shared" ref="AA7" si="24">IF($B7&gt;=0,I7,MOD((1-I7)+AB6,2))</f>
        <v>1</v>
      </c>
      <c r="AB7" s="4">
        <f t="shared" ref="AB7" si="25">IF($B7&gt;=0,J7,MOD((1-J7)+AC6,2))</f>
        <v>0</v>
      </c>
      <c r="AC7" s="4">
        <f t="shared" ref="AC7" si="26">IF($B7&gt;=0,K7,MOD((1-K7)+AD6,2))</f>
        <v>0</v>
      </c>
      <c r="AD7" s="4">
        <f t="shared" ref="AD7" si="27">IF($B7&gt;=0,L7,MOD((1-L7)+AE6,2))</f>
        <v>0</v>
      </c>
      <c r="AE7" s="5">
        <f t="shared" ref="AE7" si="28">IF($B7&gt;=0,M7,MOD((1-M7)+AF6,2))</f>
        <v>1</v>
      </c>
      <c r="AF7" s="5">
        <f t="shared" ref="AF7" si="29">IF($B7&gt;=0,N7,MOD((1-N7)+AG6,2))</f>
        <v>0</v>
      </c>
      <c r="AG7" s="5">
        <f t="shared" ref="AG7" si="30">IF($B7&gt;=0,O7,MOD((1-O7)+AH6,2))</f>
        <v>1</v>
      </c>
      <c r="AH7" s="5">
        <f t="shared" ref="AH7" si="31">IF($B7&gt;=0,P7,MOD((1-P7)+AI6,2))</f>
        <v>1</v>
      </c>
      <c r="AI7" s="6">
        <f t="shared" ref="AI7" si="32">IF($B7&gt;=0,Q7,MOD((1-Q7)+AJ6,2))</f>
        <v>0</v>
      </c>
      <c r="AJ7" s="6">
        <f t="shared" ref="AJ7" si="33">IF($B7&gt;=0,R7,MOD((1-R7)+AK6,2))</f>
        <v>1</v>
      </c>
      <c r="AK7" s="6">
        <f t="shared" ref="AK7" si="34">IF($B7&gt;=0,S7,MOD((1-S7)+AL6,2))</f>
        <v>1</v>
      </c>
      <c r="AL7" s="7">
        <f>IF($B7&gt;=0,T7,MOD((1-T7)+AM6,2))</f>
        <v>1</v>
      </c>
    </row>
    <row r="8" spans="1:39" x14ac:dyDescent="0.3">
      <c r="A8" s="1"/>
      <c r="D8" s="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  <c r="U8" s="1"/>
      <c r="V8" t="s">
        <v>28</v>
      </c>
      <c r="X8">
        <f t="shared" ref="X8" si="35">IF((1-X9)+Y8=2,1,0)</f>
        <v>0</v>
      </c>
      <c r="Y8">
        <f t="shared" ref="Y8" si="36">IF((1-Y9)+Z8=2,1,0)</f>
        <v>0</v>
      </c>
      <c r="Z8">
        <f t="shared" ref="Z8" si="37">IF((1-Z9)+AA8=2,1,0)</f>
        <v>0</v>
      </c>
      <c r="AA8">
        <f t="shared" ref="AA8" si="38">IF((1-AA9)+AB8=2,1,0)</f>
        <v>0</v>
      </c>
      <c r="AB8">
        <f t="shared" ref="AB8" si="39">IF((1-AB9)+AC8=2,1,0)</f>
        <v>0</v>
      </c>
      <c r="AC8">
        <f t="shared" ref="AC8" si="40">IF((1-AC9)+AD8=2,1,0)</f>
        <v>0</v>
      </c>
      <c r="AD8">
        <f t="shared" ref="AD8" si="41">IF((1-AD9)+AE8=2,1,0)</f>
        <v>0</v>
      </c>
      <c r="AE8">
        <f t="shared" ref="AE8" si="42">IF((1-AE9)+AF8=2,1,0)</f>
        <v>0</v>
      </c>
      <c r="AF8">
        <f t="shared" ref="AF8" si="43">IF((1-AF9)+AG8=2,1,0)</f>
        <v>0</v>
      </c>
      <c r="AG8">
        <f t="shared" ref="AG8" si="44">IF((1-AG9)+AH8=2,1,0)</f>
        <v>0</v>
      </c>
      <c r="AH8">
        <f t="shared" ref="AH8" si="45">IF((1-AH9)+AI8=2,1,0)</f>
        <v>0</v>
      </c>
      <c r="AI8">
        <f t="shared" ref="AI8" si="46">IF((1-AI9)+AJ8=2,1,0)</f>
        <v>0</v>
      </c>
      <c r="AJ8">
        <f t="shared" ref="AJ8" si="47">IF((1-AJ9)+AK8=2,1,0)</f>
        <v>0</v>
      </c>
      <c r="AK8">
        <f t="shared" ref="AK8" si="48">IF((1-AK9)+AL8=2,1,0)</f>
        <v>1</v>
      </c>
      <c r="AL8">
        <f>IF((1-AL9)+AM8=2,1,0)</f>
        <v>1</v>
      </c>
      <c r="AM8">
        <v>1</v>
      </c>
    </row>
    <row r="9" spans="1:39" x14ac:dyDescent="0.3">
      <c r="A9" s="2" t="s">
        <v>2</v>
      </c>
      <c r="B9">
        <f>B1+B3</f>
        <v>29716</v>
      </c>
      <c r="D9" s="2" t="s">
        <v>16</v>
      </c>
      <c r="E9" s="3">
        <f t="shared" si="18"/>
        <v>0</v>
      </c>
      <c r="F9" s="3">
        <f t="shared" si="18"/>
        <v>1</v>
      </c>
      <c r="G9" s="3">
        <f t="shared" si="18"/>
        <v>1</v>
      </c>
      <c r="H9" s="3">
        <f t="shared" si="18"/>
        <v>1</v>
      </c>
      <c r="I9" s="4">
        <f t="shared" si="18"/>
        <v>0</v>
      </c>
      <c r="J9" s="4">
        <f t="shared" si="18"/>
        <v>1</v>
      </c>
      <c r="K9" s="4">
        <f t="shared" si="18"/>
        <v>0</v>
      </c>
      <c r="L9" s="4">
        <f t="shared" si="18"/>
        <v>0</v>
      </c>
      <c r="M9" s="5">
        <f t="shared" si="18"/>
        <v>0</v>
      </c>
      <c r="N9" s="5">
        <f t="shared" si="18"/>
        <v>0</v>
      </c>
      <c r="O9" s="5">
        <f t="shared" si="18"/>
        <v>0</v>
      </c>
      <c r="P9" s="5">
        <f t="shared" si="18"/>
        <v>1</v>
      </c>
      <c r="Q9" s="6">
        <f t="shared" si="18"/>
        <v>0</v>
      </c>
      <c r="R9" s="6">
        <f t="shared" si="18"/>
        <v>1</v>
      </c>
      <c r="S9" s="6">
        <f t="shared" si="18"/>
        <v>0</v>
      </c>
      <c r="T9" s="7">
        <f t="shared" si="19"/>
        <v>0</v>
      </c>
      <c r="U9" s="1"/>
      <c r="W9" s="3">
        <f t="shared" ref="W9" si="49">IF($B9&gt;=0,E9,MOD((1-E9)+X8,2))</f>
        <v>0</v>
      </c>
      <c r="X9" s="3">
        <f t="shared" ref="X9" si="50">IF($B9&gt;=0,F9,MOD((1-F9)+Y8,2))</f>
        <v>1</v>
      </c>
      <c r="Y9" s="3">
        <f t="shared" ref="Y9" si="51">IF($B9&gt;=0,G9,MOD((1-G9)+Z8,2))</f>
        <v>1</v>
      </c>
      <c r="Z9" s="3">
        <f t="shared" ref="Z9" si="52">IF($B9&gt;=0,H9,MOD((1-H9)+AA8,2))</f>
        <v>1</v>
      </c>
      <c r="AA9" s="4">
        <f t="shared" ref="AA9" si="53">IF($B9&gt;=0,I9,MOD((1-I9)+AB8,2))</f>
        <v>0</v>
      </c>
      <c r="AB9" s="4">
        <f t="shared" ref="AB9" si="54">IF($B9&gt;=0,J9,MOD((1-J9)+AC8,2))</f>
        <v>1</v>
      </c>
      <c r="AC9" s="4">
        <f t="shared" ref="AC9" si="55">IF($B9&gt;=0,K9,MOD((1-K9)+AD8,2))</f>
        <v>0</v>
      </c>
      <c r="AD9" s="4">
        <f t="shared" ref="AD9" si="56">IF($B9&gt;=0,L9,MOD((1-L9)+AE8,2))</f>
        <v>0</v>
      </c>
      <c r="AE9" s="5">
        <f t="shared" ref="AE9" si="57">IF($B9&gt;=0,M9,MOD((1-M9)+AF8,2))</f>
        <v>0</v>
      </c>
      <c r="AF9" s="5">
        <f t="shared" ref="AF9" si="58">IF($B9&gt;=0,N9,MOD((1-N9)+AG8,2))</f>
        <v>0</v>
      </c>
      <c r="AG9" s="5">
        <f t="shared" ref="AG9" si="59">IF($B9&gt;=0,O9,MOD((1-O9)+AH8,2))</f>
        <v>0</v>
      </c>
      <c r="AH9" s="5">
        <f t="shared" ref="AH9" si="60">IF($B9&gt;=0,P9,MOD((1-P9)+AI8,2))</f>
        <v>1</v>
      </c>
      <c r="AI9" s="6">
        <f t="shared" ref="AI9" si="61">IF($B9&gt;=0,Q9,MOD((1-Q9)+AJ8,2))</f>
        <v>0</v>
      </c>
      <c r="AJ9" s="6">
        <f t="shared" ref="AJ9" si="62">IF($B9&gt;=0,R9,MOD((1-R9)+AK8,2))</f>
        <v>1</v>
      </c>
      <c r="AK9" s="6">
        <f t="shared" ref="AK9" si="63">IF($B9&gt;=0,S9,MOD((1-S9)+AL8,2))</f>
        <v>0</v>
      </c>
      <c r="AL9" s="7">
        <f>IF($B9&gt;=0,T9,MOD((1-T9)+AM8,2))</f>
        <v>0</v>
      </c>
    </row>
    <row r="10" spans="1:39" x14ac:dyDescent="0.3">
      <c r="A10" s="1"/>
      <c r="D10" s="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/>
      <c r="U10" s="1"/>
      <c r="V10" t="s">
        <v>28</v>
      </c>
      <c r="X10">
        <f t="shared" ref="X10" si="64">IF((1-X11)+Y10=2,1,0)</f>
        <v>0</v>
      </c>
      <c r="Y10">
        <f t="shared" ref="Y10" si="65">IF((1-Y11)+Z10=2,1,0)</f>
        <v>0</v>
      </c>
      <c r="Z10">
        <f t="shared" ref="Z10" si="66">IF((1-Z11)+AA10=2,1,0)</f>
        <v>0</v>
      </c>
      <c r="AA10">
        <f t="shared" ref="AA10" si="67">IF((1-AA11)+AB10=2,1,0)</f>
        <v>0</v>
      </c>
      <c r="AB10">
        <f t="shared" ref="AB10" si="68">IF((1-AB11)+AC10=2,1,0)</f>
        <v>0</v>
      </c>
      <c r="AC10">
        <f t="shared" ref="AC10" si="69">IF((1-AC11)+AD10=2,1,0)</f>
        <v>0</v>
      </c>
      <c r="AD10">
        <f t="shared" ref="AD10" si="70">IF((1-AD11)+AE10=2,1,0)</f>
        <v>0</v>
      </c>
      <c r="AE10">
        <f t="shared" ref="AE10" si="71">IF((1-AE11)+AF10=2,1,0)</f>
        <v>0</v>
      </c>
      <c r="AF10">
        <f t="shared" ref="AF10" si="72">IF((1-AF11)+AG10=2,1,0)</f>
        <v>0</v>
      </c>
      <c r="AG10">
        <f t="shared" ref="AG10" si="73">IF((1-AG11)+AH10=2,1,0)</f>
        <v>0</v>
      </c>
      <c r="AH10">
        <f t="shared" ref="AH10" si="74">IF((1-AH11)+AI10=2,1,0)</f>
        <v>0</v>
      </c>
      <c r="AI10">
        <f t="shared" ref="AI10" si="75">IF((1-AI11)+AJ10=2,1,0)</f>
        <v>0</v>
      </c>
      <c r="AJ10">
        <f t="shared" ref="AJ10" si="76">IF((1-AJ11)+AK10=2,1,0)</f>
        <v>0</v>
      </c>
      <c r="AK10">
        <f t="shared" ref="AK10" si="77">IF((1-AK11)+AL10=2,1,0)</f>
        <v>0</v>
      </c>
      <c r="AL10">
        <f>IF((1-AL11)+AM10=2,1,0)</f>
        <v>0</v>
      </c>
      <c r="AM10">
        <v>1</v>
      </c>
    </row>
    <row r="11" spans="1:39" x14ac:dyDescent="0.3">
      <c r="A11" s="2" t="s">
        <v>3</v>
      </c>
      <c r="B11">
        <f>B1+B3+B3</f>
        <v>48331</v>
      </c>
      <c r="D11" s="2" t="s">
        <v>17</v>
      </c>
      <c r="E11" s="3">
        <f t="shared" si="18"/>
        <v>1</v>
      </c>
      <c r="F11" s="3">
        <f t="shared" si="18"/>
        <v>0</v>
      </c>
      <c r="G11" s="3">
        <f t="shared" si="18"/>
        <v>1</v>
      </c>
      <c r="H11" s="3">
        <f t="shared" si="18"/>
        <v>1</v>
      </c>
      <c r="I11" s="4">
        <f t="shared" si="18"/>
        <v>1</v>
      </c>
      <c r="J11" s="4">
        <f t="shared" si="18"/>
        <v>1</v>
      </c>
      <c r="K11" s="4">
        <f t="shared" si="18"/>
        <v>0</v>
      </c>
      <c r="L11" s="4">
        <f t="shared" si="18"/>
        <v>0</v>
      </c>
      <c r="M11" s="5">
        <f t="shared" si="18"/>
        <v>1</v>
      </c>
      <c r="N11" s="5">
        <f t="shared" si="18"/>
        <v>1</v>
      </c>
      <c r="O11" s="5">
        <f t="shared" si="18"/>
        <v>0</v>
      </c>
      <c r="P11" s="5">
        <f t="shared" si="18"/>
        <v>0</v>
      </c>
      <c r="Q11" s="6">
        <f t="shared" si="18"/>
        <v>1</v>
      </c>
      <c r="R11" s="6">
        <f t="shared" si="18"/>
        <v>0</v>
      </c>
      <c r="S11" s="6">
        <f t="shared" si="18"/>
        <v>1</v>
      </c>
      <c r="T11" s="7">
        <f t="shared" si="19"/>
        <v>1</v>
      </c>
      <c r="U11" s="1"/>
      <c r="W11" s="3">
        <f t="shared" ref="W11" si="78">IF($B11&gt;=0,E11,MOD((1-E11)+X10,2))</f>
        <v>1</v>
      </c>
      <c r="X11" s="3">
        <f t="shared" ref="X11" si="79">IF($B11&gt;=0,F11,MOD((1-F11)+Y10,2))</f>
        <v>0</v>
      </c>
      <c r="Y11" s="3">
        <f t="shared" ref="Y11" si="80">IF($B11&gt;=0,G11,MOD((1-G11)+Z10,2))</f>
        <v>1</v>
      </c>
      <c r="Z11" s="3">
        <f t="shared" ref="Z11" si="81">IF($B11&gt;=0,H11,MOD((1-H11)+AA10,2))</f>
        <v>1</v>
      </c>
      <c r="AA11" s="4">
        <f t="shared" ref="AA11" si="82">IF($B11&gt;=0,I11,MOD((1-I11)+AB10,2))</f>
        <v>1</v>
      </c>
      <c r="AB11" s="4">
        <f t="shared" ref="AB11" si="83">IF($B11&gt;=0,J11,MOD((1-J11)+AC10,2))</f>
        <v>1</v>
      </c>
      <c r="AC11" s="4">
        <f t="shared" ref="AC11" si="84">IF($B11&gt;=0,K11,MOD((1-K11)+AD10,2))</f>
        <v>0</v>
      </c>
      <c r="AD11" s="4">
        <f t="shared" ref="AD11" si="85">IF($B11&gt;=0,L11,MOD((1-L11)+AE10,2))</f>
        <v>0</v>
      </c>
      <c r="AE11" s="5">
        <f t="shared" ref="AE11" si="86">IF($B11&gt;=0,M11,MOD((1-M11)+AF10,2))</f>
        <v>1</v>
      </c>
      <c r="AF11" s="5">
        <f t="shared" ref="AF11" si="87">IF($B11&gt;=0,N11,MOD((1-N11)+AG10,2))</f>
        <v>1</v>
      </c>
      <c r="AG11" s="5">
        <f t="shared" ref="AG11" si="88">IF($B11&gt;=0,O11,MOD((1-O11)+AH10,2))</f>
        <v>0</v>
      </c>
      <c r="AH11" s="5">
        <f t="shared" ref="AH11" si="89">IF($B11&gt;=0,P11,MOD((1-P11)+AI10,2))</f>
        <v>0</v>
      </c>
      <c r="AI11" s="6">
        <f t="shared" ref="AI11" si="90">IF($B11&gt;=0,Q11,MOD((1-Q11)+AJ10,2))</f>
        <v>1</v>
      </c>
      <c r="AJ11" s="6">
        <f t="shared" ref="AJ11" si="91">IF($B11&gt;=0,R11,MOD((1-R11)+AK10,2))</f>
        <v>0</v>
      </c>
      <c r="AK11" s="6">
        <f t="shared" ref="AK11" si="92">IF($B11&gt;=0,S11,MOD((1-S11)+AL10,2))</f>
        <v>1</v>
      </c>
      <c r="AL11" s="7">
        <f>IF($B11&gt;=0,T11,MOD((1-T11)+AM10,2))</f>
        <v>1</v>
      </c>
    </row>
    <row r="12" spans="1:39" x14ac:dyDescent="0.3">
      <c r="A12" s="1"/>
      <c r="D12" s="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1"/>
      <c r="U12" s="1"/>
      <c r="V12" t="s">
        <v>28</v>
      </c>
      <c r="X12">
        <f t="shared" ref="X12" si="93">IF((1-X13)+Y12=2,1,0)</f>
        <v>0</v>
      </c>
      <c r="Y12">
        <f t="shared" ref="Y12" si="94">IF((1-Y13)+Z12=2,1,0)</f>
        <v>0</v>
      </c>
      <c r="Z12">
        <f t="shared" ref="Z12" si="95">IF((1-Z13)+AA12=2,1,0)</f>
        <v>0</v>
      </c>
      <c r="AA12">
        <f t="shared" ref="AA12" si="96">IF((1-AA13)+AB12=2,1,0)</f>
        <v>0</v>
      </c>
      <c r="AB12">
        <f t="shared" ref="AB12" si="97">IF((1-AB13)+AC12=2,1,0)</f>
        <v>0</v>
      </c>
      <c r="AC12">
        <f t="shared" ref="AC12" si="98">IF((1-AC13)+AD12=2,1,0)</f>
        <v>0</v>
      </c>
      <c r="AD12">
        <f t="shared" ref="AD12" si="99">IF((1-AD13)+AE12=2,1,0)</f>
        <v>0</v>
      </c>
      <c r="AE12">
        <f t="shared" ref="AE12" si="100">IF((1-AE13)+AF12=2,1,0)</f>
        <v>0</v>
      </c>
      <c r="AF12">
        <f t="shared" ref="AF12" si="101">IF((1-AF13)+AG12=2,1,0)</f>
        <v>0</v>
      </c>
      <c r="AG12">
        <f t="shared" ref="AG12" si="102">IF((1-AG13)+AH12=2,1,0)</f>
        <v>0</v>
      </c>
      <c r="AH12">
        <f t="shared" ref="AH12" si="103">IF((1-AH13)+AI12=2,1,0)</f>
        <v>0</v>
      </c>
      <c r="AI12">
        <f t="shared" ref="AI12" si="104">IF((1-AI13)+AJ12=2,1,0)</f>
        <v>0</v>
      </c>
      <c r="AJ12">
        <f t="shared" ref="AJ12" si="105">IF((1-AJ13)+AK12=2,1,0)</f>
        <v>0</v>
      </c>
      <c r="AK12">
        <f t="shared" ref="AK12" si="106">IF((1-AK13)+AL12=2,1,0)</f>
        <v>0</v>
      </c>
      <c r="AL12">
        <f>IF((1-AL13)+AM12=2,1,0)</f>
        <v>1</v>
      </c>
      <c r="AM12">
        <v>1</v>
      </c>
    </row>
    <row r="13" spans="1:39" x14ac:dyDescent="0.3">
      <c r="A13" s="2" t="s">
        <v>4</v>
      </c>
      <c r="B13">
        <f>B3-B1</f>
        <v>7514</v>
      </c>
      <c r="D13" s="2" t="s">
        <v>18</v>
      </c>
      <c r="E13" s="3">
        <f t="shared" si="18"/>
        <v>0</v>
      </c>
      <c r="F13" s="3">
        <f t="shared" si="18"/>
        <v>0</v>
      </c>
      <c r="G13" s="3">
        <f t="shared" si="18"/>
        <v>0</v>
      </c>
      <c r="H13" s="3">
        <f t="shared" si="18"/>
        <v>1</v>
      </c>
      <c r="I13" s="4">
        <f t="shared" si="18"/>
        <v>1</v>
      </c>
      <c r="J13" s="4">
        <f t="shared" si="18"/>
        <v>1</v>
      </c>
      <c r="K13" s="4">
        <f t="shared" si="18"/>
        <v>0</v>
      </c>
      <c r="L13" s="4">
        <f t="shared" si="18"/>
        <v>1</v>
      </c>
      <c r="M13" s="5">
        <f t="shared" si="18"/>
        <v>0</v>
      </c>
      <c r="N13" s="5">
        <f t="shared" si="18"/>
        <v>1</v>
      </c>
      <c r="O13" s="5">
        <f t="shared" si="18"/>
        <v>0</v>
      </c>
      <c r="P13" s="5">
        <f t="shared" si="18"/>
        <v>1</v>
      </c>
      <c r="Q13" s="6">
        <f t="shared" si="18"/>
        <v>1</v>
      </c>
      <c r="R13" s="6">
        <f t="shared" si="18"/>
        <v>0</v>
      </c>
      <c r="S13" s="6">
        <f t="shared" si="18"/>
        <v>1</v>
      </c>
      <c r="T13" s="7">
        <f t="shared" si="19"/>
        <v>0</v>
      </c>
      <c r="U13" s="1"/>
      <c r="W13" s="3">
        <f t="shared" ref="W13" si="107">IF($B13&gt;=0,E13,MOD((1-E13)+X12,2))</f>
        <v>0</v>
      </c>
      <c r="X13" s="3">
        <f t="shared" ref="X13" si="108">IF($B13&gt;=0,F13,MOD((1-F13)+Y12,2))</f>
        <v>0</v>
      </c>
      <c r="Y13" s="3">
        <f t="shared" ref="Y13" si="109">IF($B13&gt;=0,G13,MOD((1-G13)+Z12,2))</f>
        <v>0</v>
      </c>
      <c r="Z13" s="3">
        <f t="shared" ref="Z13" si="110">IF($B13&gt;=0,H13,MOD((1-H13)+AA12,2))</f>
        <v>1</v>
      </c>
      <c r="AA13" s="4">
        <f t="shared" ref="AA13" si="111">IF($B13&gt;=0,I13,MOD((1-I13)+AB12,2))</f>
        <v>1</v>
      </c>
      <c r="AB13" s="4">
        <f t="shared" ref="AB13" si="112">IF($B13&gt;=0,J13,MOD((1-J13)+AC12,2))</f>
        <v>1</v>
      </c>
      <c r="AC13" s="4">
        <f t="shared" ref="AC13" si="113">IF($B13&gt;=0,K13,MOD((1-K13)+AD12,2))</f>
        <v>0</v>
      </c>
      <c r="AD13" s="4">
        <f t="shared" ref="AD13" si="114">IF($B13&gt;=0,L13,MOD((1-L13)+AE12,2))</f>
        <v>1</v>
      </c>
      <c r="AE13" s="5">
        <f t="shared" ref="AE13" si="115">IF($B13&gt;=0,M13,MOD((1-M13)+AF12,2))</f>
        <v>0</v>
      </c>
      <c r="AF13" s="5">
        <f t="shared" ref="AF13" si="116">IF($B13&gt;=0,N13,MOD((1-N13)+AG12,2))</f>
        <v>1</v>
      </c>
      <c r="AG13" s="5">
        <f t="shared" ref="AG13" si="117">IF($B13&gt;=0,O13,MOD((1-O13)+AH12,2))</f>
        <v>0</v>
      </c>
      <c r="AH13" s="5">
        <f t="shared" ref="AH13" si="118">IF($B13&gt;=0,P13,MOD((1-P13)+AI12,2))</f>
        <v>1</v>
      </c>
      <c r="AI13" s="6">
        <f t="shared" ref="AI13" si="119">IF($B13&gt;=0,Q13,MOD((1-Q13)+AJ12,2))</f>
        <v>1</v>
      </c>
      <c r="AJ13" s="6">
        <f t="shared" ref="AJ13" si="120">IF($B13&gt;=0,R13,MOD((1-R13)+AK12,2))</f>
        <v>0</v>
      </c>
      <c r="AK13" s="6">
        <f t="shared" ref="AK13" si="121">IF($B13&gt;=0,S13,MOD((1-S13)+AL12,2))</f>
        <v>1</v>
      </c>
      <c r="AL13" s="7">
        <f>IF($B13&gt;=0,T13,MOD((1-T13)+AM12,2))</f>
        <v>0</v>
      </c>
    </row>
    <row r="14" spans="1:39" x14ac:dyDescent="0.3">
      <c r="A14" s="1"/>
      <c r="D14" s="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  <c r="U14" s="1"/>
      <c r="V14" t="s">
        <v>28</v>
      </c>
      <c r="X14">
        <f t="shared" ref="X14" si="122">IF((1-X15)+Y14=2,1,0)</f>
        <v>0</v>
      </c>
      <c r="Y14">
        <f t="shared" ref="Y14" si="123">IF((1-Y15)+Z14=2,1,0)</f>
        <v>0</v>
      </c>
      <c r="Z14">
        <f t="shared" ref="Z14" si="124">IF((1-Z15)+AA14=2,1,0)</f>
        <v>0</v>
      </c>
      <c r="AA14">
        <f t="shared" ref="AA14" si="125">IF((1-AA15)+AB14=2,1,0)</f>
        <v>0</v>
      </c>
      <c r="AB14">
        <f t="shared" ref="AB14" si="126">IF((1-AB15)+AC14=2,1,0)</f>
        <v>0</v>
      </c>
      <c r="AC14">
        <f t="shared" ref="AC14" si="127">IF((1-AC15)+AD14=2,1,0)</f>
        <v>0</v>
      </c>
      <c r="AD14">
        <f t="shared" ref="AD14" si="128">IF((1-AD15)+AE14=2,1,0)</f>
        <v>0</v>
      </c>
      <c r="AE14">
        <f t="shared" ref="AE14" si="129">IF((1-AE15)+AF14=2,1,0)</f>
        <v>0</v>
      </c>
      <c r="AF14">
        <f t="shared" ref="AF14" si="130">IF((1-AF15)+AG14=2,1,0)</f>
        <v>0</v>
      </c>
      <c r="AG14">
        <f t="shared" ref="AG14" si="131">IF((1-AG15)+AH14=2,1,0)</f>
        <v>0</v>
      </c>
      <c r="AH14">
        <f t="shared" ref="AH14" si="132">IF((1-AH15)+AI14=2,1,0)</f>
        <v>0</v>
      </c>
      <c r="AI14">
        <f t="shared" ref="AI14" si="133">IF((1-AI15)+AJ14=2,1,0)</f>
        <v>0</v>
      </c>
      <c r="AJ14">
        <f t="shared" ref="AJ14" si="134">IF((1-AJ15)+AK14=2,1,0)</f>
        <v>0</v>
      </c>
      <c r="AK14">
        <f t="shared" ref="AK14" si="135">IF((1-AK15)+AL14=2,1,0)</f>
        <v>0</v>
      </c>
      <c r="AL14">
        <f>IF((1-AL15)+AM14=2,1,0)</f>
        <v>0</v>
      </c>
      <c r="AM14">
        <v>1</v>
      </c>
    </row>
    <row r="15" spans="1:39" x14ac:dyDescent="0.3">
      <c r="A15" s="2" t="s">
        <v>5</v>
      </c>
      <c r="B15">
        <f>65536-B11</f>
        <v>17205</v>
      </c>
      <c r="D15" s="2" t="s">
        <v>19</v>
      </c>
      <c r="E15" s="3">
        <f t="shared" si="18"/>
        <v>0</v>
      </c>
      <c r="F15" s="3">
        <f t="shared" si="18"/>
        <v>1</v>
      </c>
      <c r="G15" s="3">
        <f t="shared" si="18"/>
        <v>0</v>
      </c>
      <c r="H15" s="3">
        <f t="shared" si="18"/>
        <v>0</v>
      </c>
      <c r="I15" s="4">
        <f t="shared" si="18"/>
        <v>0</v>
      </c>
      <c r="J15" s="4">
        <f t="shared" si="18"/>
        <v>0</v>
      </c>
      <c r="K15" s="4">
        <f t="shared" si="18"/>
        <v>1</v>
      </c>
      <c r="L15" s="4">
        <f t="shared" si="18"/>
        <v>1</v>
      </c>
      <c r="M15" s="5">
        <f t="shared" si="18"/>
        <v>0</v>
      </c>
      <c r="N15" s="5">
        <f t="shared" si="18"/>
        <v>0</v>
      </c>
      <c r="O15" s="5">
        <f t="shared" si="18"/>
        <v>1</v>
      </c>
      <c r="P15" s="5">
        <f t="shared" si="18"/>
        <v>1</v>
      </c>
      <c r="Q15" s="6">
        <f t="shared" si="18"/>
        <v>0</v>
      </c>
      <c r="R15" s="6">
        <f t="shared" si="18"/>
        <v>1</v>
      </c>
      <c r="S15" s="6">
        <f t="shared" si="18"/>
        <v>0</v>
      </c>
      <c r="T15" s="7">
        <f t="shared" si="19"/>
        <v>1</v>
      </c>
      <c r="U15" s="1"/>
      <c r="W15" s="3">
        <f t="shared" ref="W15" si="136">IF($B15&gt;=0,E15,MOD((1-E15)+X14,2))</f>
        <v>0</v>
      </c>
      <c r="X15" s="3">
        <f t="shared" ref="X15" si="137">IF($B15&gt;=0,F15,MOD((1-F15)+Y14,2))</f>
        <v>1</v>
      </c>
      <c r="Y15" s="3">
        <f t="shared" ref="Y15" si="138">IF($B15&gt;=0,G15,MOD((1-G15)+Z14,2))</f>
        <v>0</v>
      </c>
      <c r="Z15" s="3">
        <f t="shared" ref="Z15" si="139">IF($B15&gt;=0,H15,MOD((1-H15)+AA14,2))</f>
        <v>0</v>
      </c>
      <c r="AA15" s="4">
        <f t="shared" ref="AA15" si="140">IF($B15&gt;=0,I15,MOD((1-I15)+AB14,2))</f>
        <v>0</v>
      </c>
      <c r="AB15" s="4">
        <f t="shared" ref="AB15" si="141">IF($B15&gt;=0,J15,MOD((1-J15)+AC14,2))</f>
        <v>0</v>
      </c>
      <c r="AC15" s="4">
        <f t="shared" ref="AC15" si="142">IF($B15&gt;=0,K15,MOD((1-K15)+AD14,2))</f>
        <v>1</v>
      </c>
      <c r="AD15" s="4">
        <f t="shared" ref="AD15" si="143">IF($B15&gt;=0,L15,MOD((1-L15)+AE14,2))</f>
        <v>1</v>
      </c>
      <c r="AE15" s="5">
        <f t="shared" ref="AE15" si="144">IF($B15&gt;=0,M15,MOD((1-M15)+AF14,2))</f>
        <v>0</v>
      </c>
      <c r="AF15" s="5">
        <f t="shared" ref="AF15" si="145">IF($B15&gt;=0,N15,MOD((1-N15)+AG14,2))</f>
        <v>0</v>
      </c>
      <c r="AG15" s="5">
        <f t="shared" ref="AG15" si="146">IF($B15&gt;=0,O15,MOD((1-O15)+AH14,2))</f>
        <v>1</v>
      </c>
      <c r="AH15" s="5">
        <f t="shared" ref="AH15" si="147">IF($B15&gt;=0,P15,MOD((1-P15)+AI14,2))</f>
        <v>1</v>
      </c>
      <c r="AI15" s="6">
        <f t="shared" ref="AI15" si="148">IF($B15&gt;=0,Q15,MOD((1-Q15)+AJ14,2))</f>
        <v>0</v>
      </c>
      <c r="AJ15" s="6">
        <f t="shared" ref="AJ15" si="149">IF($B15&gt;=0,R15,MOD((1-R15)+AK14,2))</f>
        <v>1</v>
      </c>
      <c r="AK15" s="6">
        <f t="shared" ref="AK15" si="150">IF($B15&gt;=0,S15,MOD((1-S15)+AL14,2))</f>
        <v>0</v>
      </c>
      <c r="AL15" s="7">
        <f>IF($B15&gt;=0,T15,MOD((1-T15)+AM14,2))</f>
        <v>1</v>
      </c>
    </row>
    <row r="16" spans="1:39" x14ac:dyDescent="0.3">
      <c r="A16" s="1"/>
      <c r="D16" s="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/>
      <c r="U16" s="1"/>
      <c r="V16" t="s">
        <v>28</v>
      </c>
      <c r="X16">
        <f t="shared" ref="X16" si="151">IF((1-X17)+Y16=2,1,0)</f>
        <v>0</v>
      </c>
      <c r="Y16">
        <f t="shared" ref="Y16" si="152">IF((1-Y17)+Z16=2,1,0)</f>
        <v>0</v>
      </c>
      <c r="Z16">
        <f t="shared" ref="Z16" si="153">IF((1-Z17)+AA16=2,1,0)</f>
        <v>0</v>
      </c>
      <c r="AA16">
        <f t="shared" ref="AA16" si="154">IF((1-AA17)+AB16=2,1,0)</f>
        <v>0</v>
      </c>
      <c r="AB16">
        <f t="shared" ref="AB16" si="155">IF((1-AB17)+AC16=2,1,0)</f>
        <v>0</v>
      </c>
      <c r="AC16">
        <f t="shared" ref="AC16" si="156">IF((1-AC17)+AD16=2,1,0)</f>
        <v>0</v>
      </c>
      <c r="AD16">
        <f t="shared" ref="AD16" si="157">IF((1-AD17)+AE16=2,1,0)</f>
        <v>0</v>
      </c>
      <c r="AE16">
        <f t="shared" ref="AE16" si="158">IF((1-AE17)+AF16=2,1,0)</f>
        <v>0</v>
      </c>
      <c r="AF16">
        <f t="shared" ref="AF16" si="159">IF((1-AF17)+AG16=2,1,0)</f>
        <v>0</v>
      </c>
      <c r="AG16">
        <f t="shared" ref="AG16" si="160">IF((1-AG17)+AH16=2,1,0)</f>
        <v>0</v>
      </c>
      <c r="AH16">
        <f t="shared" ref="AH16" si="161">IF((1-AH17)+AI16=2,1,0)</f>
        <v>0</v>
      </c>
      <c r="AI16">
        <f t="shared" ref="AI16" si="162">IF((1-AI17)+AJ16=2,1,0)</f>
        <v>0</v>
      </c>
      <c r="AJ16">
        <f t="shared" ref="AJ16" si="163">IF((1-AJ17)+AK16=2,1,0)</f>
        <v>0</v>
      </c>
      <c r="AK16">
        <f t="shared" ref="AK16" si="164">IF((1-AK17)+AL16=2,1,0)</f>
        <v>0</v>
      </c>
      <c r="AL16">
        <f>IF((1-AL17)+AM16=2,1,0)</f>
        <v>0</v>
      </c>
      <c r="AM16">
        <v>1</v>
      </c>
    </row>
    <row r="17" spans="1:39" x14ac:dyDescent="0.3">
      <c r="A17" s="2" t="s">
        <v>6</v>
      </c>
      <c r="B17">
        <f>-B5</f>
        <v>-11101</v>
      </c>
      <c r="D17" s="2" t="s">
        <v>20</v>
      </c>
      <c r="E17" s="3">
        <f>IF(QUOTIENT(ABS($B17),E$4)&lt;&gt;0,MOD(QUOTIENT(ABS($B17),E$4),2),0)</f>
        <v>0</v>
      </c>
      <c r="F17" s="3">
        <f>IF(QUOTIENT(ABS($B17),F$4)&lt;&gt;0,MOD(QUOTIENT(ABS($B17),F$4),2),0)</f>
        <v>0</v>
      </c>
      <c r="G17" s="3">
        <f t="shared" si="18"/>
        <v>1</v>
      </c>
      <c r="H17" s="3">
        <f t="shared" ref="H17:S17" si="165">IF(QUOTIENT(ABS($B17),H$4)&lt;&gt;0,MOD(QUOTIENT(ABS($B17),H$4),2),0)</f>
        <v>0</v>
      </c>
      <c r="I17" s="4">
        <f t="shared" si="165"/>
        <v>1</v>
      </c>
      <c r="J17" s="4">
        <f t="shared" si="165"/>
        <v>0</v>
      </c>
      <c r="K17" s="4">
        <f t="shared" si="165"/>
        <v>1</v>
      </c>
      <c r="L17" s="4">
        <f t="shared" si="165"/>
        <v>1</v>
      </c>
      <c r="M17" s="5">
        <f t="shared" si="165"/>
        <v>0</v>
      </c>
      <c r="N17" s="5">
        <f t="shared" si="165"/>
        <v>1</v>
      </c>
      <c r="O17" s="5">
        <f t="shared" si="165"/>
        <v>0</v>
      </c>
      <c r="P17" s="5">
        <f t="shared" si="165"/>
        <v>1</v>
      </c>
      <c r="Q17" s="6">
        <f t="shared" si="165"/>
        <v>1</v>
      </c>
      <c r="R17" s="6">
        <f t="shared" si="165"/>
        <v>1</v>
      </c>
      <c r="S17" s="6">
        <f t="shared" si="165"/>
        <v>0</v>
      </c>
      <c r="T17" s="7">
        <f>MOD(QUOTIENT(ABS($B17),T$4),2)</f>
        <v>1</v>
      </c>
      <c r="U17" s="1"/>
      <c r="W17" s="3">
        <f t="shared" ref="W17" si="166">IF($B17&gt;=0,E17,MOD((1-E17)+X16,2))</f>
        <v>1</v>
      </c>
      <c r="X17" s="3">
        <f t="shared" ref="X17" si="167">IF($B17&gt;=0,F17,MOD((1-F17)+Y16,2))</f>
        <v>1</v>
      </c>
      <c r="Y17" s="3">
        <f t="shared" ref="Y17" si="168">IF($B17&gt;=0,G17,MOD((1-G17)+Z16,2))</f>
        <v>0</v>
      </c>
      <c r="Z17" s="3">
        <f t="shared" ref="Z17" si="169">IF($B17&gt;=0,H17,MOD((1-H17)+AA16,2))</f>
        <v>1</v>
      </c>
      <c r="AA17" s="4">
        <f t="shared" ref="AA17" si="170">IF($B17&gt;=0,I17,MOD((1-I17)+AB16,2))</f>
        <v>0</v>
      </c>
      <c r="AB17" s="4">
        <f t="shared" ref="AB17" si="171">IF($B17&gt;=0,J17,MOD((1-J17)+AC16,2))</f>
        <v>1</v>
      </c>
      <c r="AC17" s="4">
        <f t="shared" ref="AC17" si="172">IF($B17&gt;=0,K17,MOD((1-K17)+AD16,2))</f>
        <v>0</v>
      </c>
      <c r="AD17" s="4">
        <f t="shared" ref="AD17" si="173">IF($B17&gt;=0,L17,MOD((1-L17)+AE16,2))</f>
        <v>0</v>
      </c>
      <c r="AE17" s="5">
        <f t="shared" ref="AE17" si="174">IF($B17&gt;=0,M17,MOD((1-M17)+AF16,2))</f>
        <v>1</v>
      </c>
      <c r="AF17" s="5">
        <f t="shared" ref="AF17" si="175">IF($B17&gt;=0,N17,MOD((1-N17)+AG16,2))</f>
        <v>0</v>
      </c>
      <c r="AG17" s="5">
        <f t="shared" ref="AG17" si="176">IF($B17&gt;=0,O17,MOD((1-O17)+AH16,2))</f>
        <v>1</v>
      </c>
      <c r="AH17" s="5">
        <f t="shared" ref="AH17" si="177">IF($B17&gt;=0,P17,MOD((1-P17)+AI16,2))</f>
        <v>0</v>
      </c>
      <c r="AI17" s="6">
        <f t="shared" ref="AI17" si="178">IF($B17&gt;=0,Q17,MOD((1-Q17)+AJ16,2))</f>
        <v>0</v>
      </c>
      <c r="AJ17" s="6">
        <f t="shared" ref="AJ17" si="179">IF($B17&gt;=0,R17,MOD((1-R17)+AK16,2))</f>
        <v>0</v>
      </c>
      <c r="AK17" s="6">
        <f t="shared" ref="AK17" si="180">IF($B17&gt;=0,S17,MOD((1-S17)+AL16,2))</f>
        <v>1</v>
      </c>
      <c r="AL17" s="7">
        <f>IF($B17&gt;=0,T17,MOD((1-T17)+AM16,2))</f>
        <v>1</v>
      </c>
    </row>
    <row r="18" spans="1:39" x14ac:dyDescent="0.3">
      <c r="A18" s="1"/>
      <c r="D18" s="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  <c r="U18" s="1"/>
      <c r="V18" t="s">
        <v>28</v>
      </c>
      <c r="X18">
        <f t="shared" ref="X18" si="181">IF((1-X19)+Y18=2,1,0)</f>
        <v>0</v>
      </c>
      <c r="Y18">
        <f t="shared" ref="Y18" si="182">IF((1-Y19)+Z18=2,1,0)</f>
        <v>0</v>
      </c>
      <c r="Z18">
        <f t="shared" ref="Z18" si="183">IF((1-Z19)+AA18=2,1,0)</f>
        <v>0</v>
      </c>
      <c r="AA18">
        <f t="shared" ref="AA18" si="184">IF((1-AA19)+AB18=2,1,0)</f>
        <v>0</v>
      </c>
      <c r="AB18">
        <f t="shared" ref="AB18" si="185">IF((1-AB19)+AC18=2,1,0)</f>
        <v>0</v>
      </c>
      <c r="AC18">
        <f t="shared" ref="AC18" si="186">IF((1-AC19)+AD18=2,1,0)</f>
        <v>0</v>
      </c>
      <c r="AD18">
        <f t="shared" ref="AD18" si="187">IF((1-AD19)+AE18=2,1,0)</f>
        <v>0</v>
      </c>
      <c r="AE18">
        <f t="shared" ref="AE18" si="188">IF((1-AE19)+AF18=2,1,0)</f>
        <v>0</v>
      </c>
      <c r="AF18">
        <f t="shared" ref="AF18" si="189">IF((1-AF19)+AG18=2,1,0)</f>
        <v>0</v>
      </c>
      <c r="AG18">
        <f t="shared" ref="AG18" si="190">IF((1-AG19)+AH18=2,1,0)</f>
        <v>0</v>
      </c>
      <c r="AH18">
        <f t="shared" ref="AH18" si="191">IF((1-AH19)+AI18=2,1,0)</f>
        <v>0</v>
      </c>
      <c r="AI18">
        <f t="shared" ref="AI18" si="192">IF((1-AI19)+AJ18=2,1,0)</f>
        <v>0</v>
      </c>
      <c r="AJ18">
        <f t="shared" ref="AJ18" si="193">IF((1-AJ19)+AK18=2,1,0)</f>
        <v>0</v>
      </c>
      <c r="AK18">
        <f t="shared" ref="AK18" si="194">IF((1-AK19)+AL18=2,1,0)</f>
        <v>0</v>
      </c>
      <c r="AL18">
        <f>IF((1-AL19)+AM18=2,1,0)</f>
        <v>0</v>
      </c>
      <c r="AM18">
        <v>1</v>
      </c>
    </row>
    <row r="19" spans="1:39" x14ac:dyDescent="0.3">
      <c r="A19" s="2" t="s">
        <v>7</v>
      </c>
      <c r="B19">
        <f>-B7</f>
        <v>-18615</v>
      </c>
      <c r="D19" s="2" t="s">
        <v>21</v>
      </c>
      <c r="E19" s="3">
        <f t="shared" si="18"/>
        <v>0</v>
      </c>
      <c r="F19" s="3">
        <f t="shared" si="18"/>
        <v>1</v>
      </c>
      <c r="G19" s="3">
        <f t="shared" si="18"/>
        <v>0</v>
      </c>
      <c r="H19" s="3">
        <f t="shared" si="18"/>
        <v>0</v>
      </c>
      <c r="I19" s="4">
        <f t="shared" si="18"/>
        <v>1</v>
      </c>
      <c r="J19" s="4">
        <f t="shared" si="18"/>
        <v>0</v>
      </c>
      <c r="K19" s="4">
        <f t="shared" si="18"/>
        <v>0</v>
      </c>
      <c r="L19" s="4">
        <f t="shared" si="18"/>
        <v>0</v>
      </c>
      <c r="M19" s="5">
        <f t="shared" si="18"/>
        <v>1</v>
      </c>
      <c r="N19" s="5">
        <f t="shared" si="18"/>
        <v>0</v>
      </c>
      <c r="O19" s="5">
        <f t="shared" si="18"/>
        <v>1</v>
      </c>
      <c r="P19" s="5">
        <f t="shared" si="18"/>
        <v>1</v>
      </c>
      <c r="Q19" s="6">
        <f t="shared" si="18"/>
        <v>0</v>
      </c>
      <c r="R19" s="6">
        <f t="shared" si="18"/>
        <v>1</v>
      </c>
      <c r="S19" s="6">
        <f t="shared" si="18"/>
        <v>1</v>
      </c>
      <c r="T19" s="7">
        <f t="shared" si="19"/>
        <v>1</v>
      </c>
      <c r="U19" s="1"/>
      <c r="W19" s="3">
        <f t="shared" ref="W19" si="195">IF($B19&gt;=0,E19,MOD((1-E19)+X18,2))</f>
        <v>1</v>
      </c>
      <c r="X19" s="3">
        <f t="shared" ref="X19" si="196">IF($B19&gt;=0,F19,MOD((1-F19)+Y18,2))</f>
        <v>0</v>
      </c>
      <c r="Y19" s="3">
        <f t="shared" ref="Y19" si="197">IF($B19&gt;=0,G19,MOD((1-G19)+Z18,2))</f>
        <v>1</v>
      </c>
      <c r="Z19" s="3">
        <f t="shared" ref="Z19" si="198">IF($B19&gt;=0,H19,MOD((1-H19)+AA18,2))</f>
        <v>1</v>
      </c>
      <c r="AA19" s="4">
        <f t="shared" ref="AA19" si="199">IF($B19&gt;=0,I19,MOD((1-I19)+AB18,2))</f>
        <v>0</v>
      </c>
      <c r="AB19" s="4">
        <f t="shared" ref="AB19" si="200">IF($B19&gt;=0,J19,MOD((1-J19)+AC18,2))</f>
        <v>1</v>
      </c>
      <c r="AC19" s="4">
        <f t="shared" ref="AC19" si="201">IF($B19&gt;=0,K19,MOD((1-K19)+AD18,2))</f>
        <v>1</v>
      </c>
      <c r="AD19" s="4">
        <f t="shared" ref="AD19" si="202">IF($B19&gt;=0,L19,MOD((1-L19)+AE18,2))</f>
        <v>1</v>
      </c>
      <c r="AE19" s="5">
        <f t="shared" ref="AE19" si="203">IF($B19&gt;=0,M19,MOD((1-M19)+AF18,2))</f>
        <v>0</v>
      </c>
      <c r="AF19" s="5">
        <f t="shared" ref="AF19" si="204">IF($B19&gt;=0,N19,MOD((1-N19)+AG18,2))</f>
        <v>1</v>
      </c>
      <c r="AG19" s="5">
        <f t="shared" ref="AG19" si="205">IF($B19&gt;=0,O19,MOD((1-O19)+AH18,2))</f>
        <v>0</v>
      </c>
      <c r="AH19" s="5">
        <f t="shared" ref="AH19" si="206">IF($B19&gt;=0,P19,MOD((1-P19)+AI18,2))</f>
        <v>0</v>
      </c>
      <c r="AI19" s="6">
        <f t="shared" ref="AI19" si="207">IF($B19&gt;=0,Q19,MOD((1-Q19)+AJ18,2))</f>
        <v>1</v>
      </c>
      <c r="AJ19" s="6">
        <f t="shared" ref="AJ19" si="208">IF($B19&gt;=0,R19,MOD((1-R19)+AK18,2))</f>
        <v>0</v>
      </c>
      <c r="AK19" s="6">
        <f t="shared" ref="AK19" si="209">IF($B19&gt;=0,S19,MOD((1-S19)+AL18,2))</f>
        <v>0</v>
      </c>
      <c r="AL19" s="7">
        <f>IF($B19&gt;=0,T19,MOD((1-T19)+AM18,2))</f>
        <v>1</v>
      </c>
    </row>
    <row r="20" spans="1:39" x14ac:dyDescent="0.3">
      <c r="A20" s="1"/>
      <c r="D20" s="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  <c r="U20" s="1"/>
      <c r="V20" t="s">
        <v>28</v>
      </c>
      <c r="X20">
        <f t="shared" ref="X20" si="210">IF((1-X21)+Y20=2,1,0)</f>
        <v>0</v>
      </c>
      <c r="Y20">
        <f t="shared" ref="Y20" si="211">IF((1-Y21)+Z20=2,1,0)</f>
        <v>0</v>
      </c>
      <c r="Z20">
        <f t="shared" ref="Z20" si="212">IF((1-Z21)+AA20=2,1,0)</f>
        <v>0</v>
      </c>
      <c r="AA20">
        <f t="shared" ref="AA20" si="213">IF((1-AA21)+AB20=2,1,0)</f>
        <v>0</v>
      </c>
      <c r="AB20">
        <f t="shared" ref="AB20" si="214">IF((1-AB21)+AC20=2,1,0)</f>
        <v>0</v>
      </c>
      <c r="AC20">
        <f t="shared" ref="AC20" si="215">IF((1-AC21)+AD20=2,1,0)</f>
        <v>0</v>
      </c>
      <c r="AD20">
        <f t="shared" ref="AD20" si="216">IF((1-AD21)+AE20=2,1,0)</f>
        <v>0</v>
      </c>
      <c r="AE20">
        <f t="shared" ref="AE20" si="217">IF((1-AE21)+AF20=2,1,0)</f>
        <v>0</v>
      </c>
      <c r="AF20">
        <f t="shared" ref="AF20" si="218">IF((1-AF21)+AG20=2,1,0)</f>
        <v>0</v>
      </c>
      <c r="AG20">
        <f t="shared" ref="AG20" si="219">IF((1-AG21)+AH20=2,1,0)</f>
        <v>0</v>
      </c>
      <c r="AH20">
        <f t="shared" ref="AH20" si="220">IF((1-AH21)+AI20=2,1,0)</f>
        <v>0</v>
      </c>
      <c r="AI20">
        <f t="shared" ref="AI20" si="221">IF((1-AI21)+AJ20=2,1,0)</f>
        <v>0</v>
      </c>
      <c r="AJ20">
        <f t="shared" ref="AJ20" si="222">IF((1-AJ21)+AK20=2,1,0)</f>
        <v>0</v>
      </c>
      <c r="AK20">
        <f t="shared" ref="AK20" si="223">IF((1-AK21)+AL20=2,1,0)</f>
        <v>1</v>
      </c>
      <c r="AL20">
        <f>IF((1-AL21)+AM20=2,1,0)</f>
        <v>1</v>
      </c>
      <c r="AM20">
        <v>1</v>
      </c>
    </row>
    <row r="21" spans="1:39" x14ac:dyDescent="0.3">
      <c r="A21" s="2" t="s">
        <v>8</v>
      </c>
      <c r="B21">
        <f>-B9</f>
        <v>-29716</v>
      </c>
      <c r="D21" s="2" t="s">
        <v>22</v>
      </c>
      <c r="E21" s="3">
        <f t="shared" si="18"/>
        <v>0</v>
      </c>
      <c r="F21" s="3">
        <f t="shared" si="18"/>
        <v>1</v>
      </c>
      <c r="G21" s="3">
        <f t="shared" si="18"/>
        <v>1</v>
      </c>
      <c r="H21" s="3">
        <f t="shared" si="18"/>
        <v>1</v>
      </c>
      <c r="I21" s="4">
        <f t="shared" si="18"/>
        <v>0</v>
      </c>
      <c r="J21" s="4">
        <f t="shared" si="18"/>
        <v>1</v>
      </c>
      <c r="K21" s="4">
        <f t="shared" si="18"/>
        <v>0</v>
      </c>
      <c r="L21" s="4">
        <f t="shared" si="18"/>
        <v>0</v>
      </c>
      <c r="M21" s="5">
        <f t="shared" si="18"/>
        <v>0</v>
      </c>
      <c r="N21" s="5">
        <f t="shared" si="18"/>
        <v>0</v>
      </c>
      <c r="O21" s="5">
        <f t="shared" si="18"/>
        <v>0</v>
      </c>
      <c r="P21" s="5">
        <f t="shared" si="18"/>
        <v>1</v>
      </c>
      <c r="Q21" s="6">
        <f t="shared" si="18"/>
        <v>0</v>
      </c>
      <c r="R21" s="6">
        <f t="shared" si="18"/>
        <v>1</v>
      </c>
      <c r="S21" s="6">
        <f t="shared" si="18"/>
        <v>0</v>
      </c>
      <c r="T21" s="7">
        <f t="shared" si="19"/>
        <v>0</v>
      </c>
      <c r="U21" s="1"/>
      <c r="W21" s="3">
        <f t="shared" ref="W21" si="224">IF($B21&gt;=0,E21,MOD((1-E21)+X20,2))</f>
        <v>1</v>
      </c>
      <c r="X21" s="3">
        <f t="shared" ref="X21" si="225">IF($B21&gt;=0,F21,MOD((1-F21)+Y20,2))</f>
        <v>0</v>
      </c>
      <c r="Y21" s="3">
        <f t="shared" ref="Y21" si="226">IF($B21&gt;=0,G21,MOD((1-G21)+Z20,2))</f>
        <v>0</v>
      </c>
      <c r="Z21" s="3">
        <f t="shared" ref="Z21" si="227">IF($B21&gt;=0,H21,MOD((1-H21)+AA20,2))</f>
        <v>0</v>
      </c>
      <c r="AA21" s="4">
        <f t="shared" ref="AA21" si="228">IF($B21&gt;=0,I21,MOD((1-I21)+AB20,2))</f>
        <v>1</v>
      </c>
      <c r="AB21" s="4">
        <f t="shared" ref="AB21" si="229">IF($B21&gt;=0,J21,MOD((1-J21)+AC20,2))</f>
        <v>0</v>
      </c>
      <c r="AC21" s="4">
        <f t="shared" ref="AC21" si="230">IF($B21&gt;=0,K21,MOD((1-K21)+AD20,2))</f>
        <v>1</v>
      </c>
      <c r="AD21" s="4">
        <f t="shared" ref="AD21" si="231">IF($B21&gt;=0,L21,MOD((1-L21)+AE20,2))</f>
        <v>1</v>
      </c>
      <c r="AE21" s="5">
        <f t="shared" ref="AE21" si="232">IF($B21&gt;=0,M21,MOD((1-M21)+AF20,2))</f>
        <v>1</v>
      </c>
      <c r="AF21" s="5">
        <f t="shared" ref="AF21" si="233">IF($B21&gt;=0,N21,MOD((1-N21)+AG20,2))</f>
        <v>1</v>
      </c>
      <c r="AG21" s="5">
        <f t="shared" ref="AG21" si="234">IF($B21&gt;=0,O21,MOD((1-O21)+AH20,2))</f>
        <v>1</v>
      </c>
      <c r="AH21" s="5">
        <f t="shared" ref="AH21" si="235">IF($B21&gt;=0,P21,MOD((1-P21)+AI20,2))</f>
        <v>0</v>
      </c>
      <c r="AI21" s="6">
        <f t="shared" ref="AI21" si="236">IF($B21&gt;=0,Q21,MOD((1-Q21)+AJ20,2))</f>
        <v>1</v>
      </c>
      <c r="AJ21" s="6">
        <f t="shared" ref="AJ21" si="237">IF($B21&gt;=0,R21,MOD((1-R21)+AK20,2))</f>
        <v>1</v>
      </c>
      <c r="AK21" s="6">
        <f t="shared" ref="AK21" si="238">IF($B21&gt;=0,S21,MOD((1-S21)+AL20,2))</f>
        <v>0</v>
      </c>
      <c r="AL21" s="7">
        <f>IF($B21&gt;=0,T21,MOD((1-T21)+AM20,2))</f>
        <v>0</v>
      </c>
    </row>
    <row r="22" spans="1:39" x14ac:dyDescent="0.3">
      <c r="A22" s="1"/>
      <c r="D22" s="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  <c r="U22" s="1"/>
      <c r="V22" t="s">
        <v>28</v>
      </c>
      <c r="X22">
        <f t="shared" ref="X22" si="239">IF((1-X23)+Y22=2,1,0)</f>
        <v>0</v>
      </c>
      <c r="Y22">
        <f t="shared" ref="Y22" si="240">IF((1-Y23)+Z22=2,1,0)</f>
        <v>0</v>
      </c>
      <c r="Z22">
        <f t="shared" ref="Z22" si="241">IF((1-Z23)+AA22=2,1,0)</f>
        <v>0</v>
      </c>
      <c r="AA22">
        <f t="shared" ref="AA22" si="242">IF((1-AA23)+AB22=2,1,0)</f>
        <v>0</v>
      </c>
      <c r="AB22">
        <f t="shared" ref="AB22" si="243">IF((1-AB23)+AC22=2,1,0)</f>
        <v>0</v>
      </c>
      <c r="AC22">
        <f t="shared" ref="AC22" si="244">IF((1-AC23)+AD22=2,1,0)</f>
        <v>0</v>
      </c>
      <c r="AD22">
        <f t="shared" ref="AD22" si="245">IF((1-AD23)+AE22=2,1,0)</f>
        <v>0</v>
      </c>
      <c r="AE22">
        <f t="shared" ref="AE22" si="246">IF((1-AE23)+AF22=2,1,0)</f>
        <v>0</v>
      </c>
      <c r="AF22">
        <f t="shared" ref="AF22" si="247">IF((1-AF23)+AG22=2,1,0)</f>
        <v>0</v>
      </c>
      <c r="AG22">
        <f t="shared" ref="AG22" si="248">IF((1-AG23)+AH22=2,1,0)</f>
        <v>0</v>
      </c>
      <c r="AH22">
        <f t="shared" ref="AH22" si="249">IF((1-AH23)+AI22=2,1,0)</f>
        <v>0</v>
      </c>
      <c r="AI22">
        <f t="shared" ref="AI22" si="250">IF((1-AI23)+AJ22=2,1,0)</f>
        <v>0</v>
      </c>
      <c r="AJ22">
        <f t="shared" ref="AJ22" si="251">IF((1-AJ23)+AK22=2,1,0)</f>
        <v>0</v>
      </c>
      <c r="AK22">
        <f t="shared" ref="AK22" si="252">IF((1-AK23)+AL22=2,1,0)</f>
        <v>0</v>
      </c>
      <c r="AL22">
        <f>IF((1-AL23)+AM22=2,1,0)</f>
        <v>0</v>
      </c>
      <c r="AM22">
        <v>1</v>
      </c>
    </row>
    <row r="23" spans="1:39" x14ac:dyDescent="0.3">
      <c r="A23" s="2" t="s">
        <v>9</v>
      </c>
      <c r="B23">
        <f>-B11</f>
        <v>-48331</v>
      </c>
      <c r="D23" s="2" t="s">
        <v>23</v>
      </c>
      <c r="E23" s="3">
        <f t="shared" si="18"/>
        <v>1</v>
      </c>
      <c r="F23" s="3">
        <f t="shared" si="18"/>
        <v>0</v>
      </c>
      <c r="G23" s="3">
        <f t="shared" si="18"/>
        <v>1</v>
      </c>
      <c r="H23" s="3">
        <f t="shared" si="18"/>
        <v>1</v>
      </c>
      <c r="I23" s="4">
        <f t="shared" si="18"/>
        <v>1</v>
      </c>
      <c r="J23" s="4">
        <f t="shared" si="18"/>
        <v>1</v>
      </c>
      <c r="K23" s="4">
        <f t="shared" si="18"/>
        <v>0</v>
      </c>
      <c r="L23" s="4">
        <f t="shared" si="18"/>
        <v>0</v>
      </c>
      <c r="M23" s="5">
        <f t="shared" si="18"/>
        <v>1</v>
      </c>
      <c r="N23" s="5">
        <f t="shared" si="18"/>
        <v>1</v>
      </c>
      <c r="O23" s="5">
        <f t="shared" si="18"/>
        <v>0</v>
      </c>
      <c r="P23" s="5">
        <f t="shared" si="18"/>
        <v>0</v>
      </c>
      <c r="Q23" s="6">
        <f t="shared" si="18"/>
        <v>1</v>
      </c>
      <c r="R23" s="6">
        <f t="shared" si="18"/>
        <v>0</v>
      </c>
      <c r="S23" s="6">
        <f t="shared" si="18"/>
        <v>1</v>
      </c>
      <c r="T23" s="7">
        <f t="shared" si="19"/>
        <v>1</v>
      </c>
      <c r="U23" s="1"/>
      <c r="W23" s="3">
        <f t="shared" ref="W23" si="253">IF($B23&gt;=0,E23,MOD((1-E23)+X22,2))</f>
        <v>0</v>
      </c>
      <c r="X23" s="3">
        <f t="shared" ref="X23" si="254">IF($B23&gt;=0,F23,MOD((1-F23)+Y22,2))</f>
        <v>1</v>
      </c>
      <c r="Y23" s="3">
        <f t="shared" ref="Y23" si="255">IF($B23&gt;=0,G23,MOD((1-G23)+Z22,2))</f>
        <v>0</v>
      </c>
      <c r="Z23" s="3">
        <f t="shared" ref="Z23" si="256">IF($B23&gt;=0,H23,MOD((1-H23)+AA22,2))</f>
        <v>0</v>
      </c>
      <c r="AA23" s="4">
        <f t="shared" ref="AA23" si="257">IF($B23&gt;=0,I23,MOD((1-I23)+AB22,2))</f>
        <v>0</v>
      </c>
      <c r="AB23" s="4">
        <f t="shared" ref="AB23" si="258">IF($B23&gt;=0,J23,MOD((1-J23)+AC22,2))</f>
        <v>0</v>
      </c>
      <c r="AC23" s="4">
        <f t="shared" ref="AC23" si="259">IF($B23&gt;=0,K23,MOD((1-K23)+AD22,2))</f>
        <v>1</v>
      </c>
      <c r="AD23" s="4">
        <f t="shared" ref="AD23" si="260">IF($B23&gt;=0,L23,MOD((1-L23)+AE22,2))</f>
        <v>1</v>
      </c>
      <c r="AE23" s="5">
        <f t="shared" ref="AE23" si="261">IF($B23&gt;=0,M23,MOD((1-M23)+AF22,2))</f>
        <v>0</v>
      </c>
      <c r="AF23" s="5">
        <f t="shared" ref="AF23" si="262">IF($B23&gt;=0,N23,MOD((1-N23)+AG22,2))</f>
        <v>0</v>
      </c>
      <c r="AG23" s="5">
        <f t="shared" ref="AG23" si="263">IF($B23&gt;=0,O23,MOD((1-O23)+AH22,2))</f>
        <v>1</v>
      </c>
      <c r="AH23" s="5">
        <f t="shared" ref="AH23" si="264">IF($B23&gt;=0,P23,MOD((1-P23)+AI22,2))</f>
        <v>1</v>
      </c>
      <c r="AI23" s="6">
        <f t="shared" ref="AI23" si="265">IF($B23&gt;=0,Q23,MOD((1-Q23)+AJ22,2))</f>
        <v>0</v>
      </c>
      <c r="AJ23" s="6">
        <f t="shared" ref="AJ23" si="266">IF($B23&gt;=0,R23,MOD((1-R23)+AK22,2))</f>
        <v>1</v>
      </c>
      <c r="AK23" s="6">
        <f t="shared" ref="AK23" si="267">IF($B23&gt;=0,S23,MOD((1-S23)+AL22,2))</f>
        <v>0</v>
      </c>
      <c r="AL23" s="7">
        <f>IF($B23&gt;=0,T23,MOD((1-T23)+AM22,2))</f>
        <v>1</v>
      </c>
    </row>
    <row r="24" spans="1:39" x14ac:dyDescent="0.3">
      <c r="A24" s="1"/>
      <c r="D24" s="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/>
      <c r="U24" s="1"/>
      <c r="V24" t="s">
        <v>28</v>
      </c>
      <c r="X24">
        <f t="shared" ref="X24" si="268">IF((1-X25)+Y24=2,1,0)</f>
        <v>0</v>
      </c>
      <c r="Y24">
        <f t="shared" ref="Y24" si="269">IF((1-Y25)+Z24=2,1,0)</f>
        <v>0</v>
      </c>
      <c r="Z24">
        <f t="shared" ref="Z24" si="270">IF((1-Z25)+AA24=2,1,0)</f>
        <v>0</v>
      </c>
      <c r="AA24">
        <f t="shared" ref="AA24" si="271">IF((1-AA25)+AB24=2,1,0)</f>
        <v>0</v>
      </c>
      <c r="AB24">
        <f t="shared" ref="AB24" si="272">IF((1-AB25)+AC24=2,1,0)</f>
        <v>0</v>
      </c>
      <c r="AC24">
        <f t="shared" ref="AC24" si="273">IF((1-AC25)+AD24=2,1,0)</f>
        <v>0</v>
      </c>
      <c r="AD24">
        <f t="shared" ref="AD24" si="274">IF((1-AD25)+AE24=2,1,0)</f>
        <v>0</v>
      </c>
      <c r="AE24">
        <f t="shared" ref="AE24" si="275">IF((1-AE25)+AF24=2,1,0)</f>
        <v>0</v>
      </c>
      <c r="AF24">
        <f t="shared" ref="AF24" si="276">IF((1-AF25)+AG24=2,1,0)</f>
        <v>0</v>
      </c>
      <c r="AG24">
        <f t="shared" ref="AG24" si="277">IF((1-AG25)+AH24=2,1,0)</f>
        <v>0</v>
      </c>
      <c r="AH24">
        <f t="shared" ref="AH24" si="278">IF((1-AH25)+AI24=2,1,0)</f>
        <v>0</v>
      </c>
      <c r="AI24">
        <f t="shared" ref="AI24" si="279">IF((1-AI25)+AJ24=2,1,0)</f>
        <v>0</v>
      </c>
      <c r="AJ24">
        <f t="shared" ref="AJ24" si="280">IF((1-AJ25)+AK24=2,1,0)</f>
        <v>0</v>
      </c>
      <c r="AK24">
        <f t="shared" ref="AK24" si="281">IF((1-AK25)+AL24=2,1,0)</f>
        <v>0</v>
      </c>
      <c r="AL24">
        <f>IF((1-AL25)+AM24=2,1,0)</f>
        <v>1</v>
      </c>
      <c r="AM24">
        <v>1</v>
      </c>
    </row>
    <row r="25" spans="1:39" x14ac:dyDescent="0.3">
      <c r="A25" s="2" t="s">
        <v>10</v>
      </c>
      <c r="B25">
        <f>-B13</f>
        <v>-7514</v>
      </c>
      <c r="D25" s="2" t="s">
        <v>24</v>
      </c>
      <c r="E25" s="3">
        <f t="shared" si="18"/>
        <v>0</v>
      </c>
      <c r="F25" s="3">
        <f t="shared" si="18"/>
        <v>0</v>
      </c>
      <c r="G25" s="3">
        <f t="shared" si="18"/>
        <v>0</v>
      </c>
      <c r="H25" s="3">
        <f t="shared" si="18"/>
        <v>1</v>
      </c>
      <c r="I25" s="4">
        <f t="shared" si="18"/>
        <v>1</v>
      </c>
      <c r="J25" s="4">
        <f t="shared" si="18"/>
        <v>1</v>
      </c>
      <c r="K25" s="4">
        <f t="shared" si="18"/>
        <v>0</v>
      </c>
      <c r="L25" s="4">
        <f t="shared" si="18"/>
        <v>1</v>
      </c>
      <c r="M25" s="5">
        <f t="shared" si="18"/>
        <v>0</v>
      </c>
      <c r="N25" s="5">
        <f t="shared" si="18"/>
        <v>1</v>
      </c>
      <c r="O25" s="5">
        <f t="shared" si="18"/>
        <v>0</v>
      </c>
      <c r="P25" s="5">
        <f t="shared" si="18"/>
        <v>1</v>
      </c>
      <c r="Q25" s="6">
        <f t="shared" si="18"/>
        <v>1</v>
      </c>
      <c r="R25" s="6">
        <f t="shared" si="18"/>
        <v>0</v>
      </c>
      <c r="S25" s="6">
        <f t="shared" si="18"/>
        <v>1</v>
      </c>
      <c r="T25" s="7">
        <f t="shared" si="19"/>
        <v>0</v>
      </c>
      <c r="U25" s="1"/>
      <c r="W25" s="3">
        <f t="shared" ref="W25" si="282">IF($B25&gt;=0,E25,MOD((1-E25)+X24,2))</f>
        <v>1</v>
      </c>
      <c r="X25" s="3">
        <f t="shared" ref="X25" si="283">IF($B25&gt;=0,F25,MOD((1-F25)+Y24,2))</f>
        <v>1</v>
      </c>
      <c r="Y25" s="3">
        <f t="shared" ref="Y25" si="284">IF($B25&gt;=0,G25,MOD((1-G25)+Z24,2))</f>
        <v>1</v>
      </c>
      <c r="Z25" s="3">
        <f t="shared" ref="Z25" si="285">IF($B25&gt;=0,H25,MOD((1-H25)+AA24,2))</f>
        <v>0</v>
      </c>
      <c r="AA25" s="4">
        <f t="shared" ref="AA25" si="286">IF($B25&gt;=0,I25,MOD((1-I25)+AB24,2))</f>
        <v>0</v>
      </c>
      <c r="AB25" s="4">
        <f t="shared" ref="AB25" si="287">IF($B25&gt;=0,J25,MOD((1-J25)+AC24,2))</f>
        <v>0</v>
      </c>
      <c r="AC25" s="4">
        <f t="shared" ref="AC25" si="288">IF($B25&gt;=0,K25,MOD((1-K25)+AD24,2))</f>
        <v>1</v>
      </c>
      <c r="AD25" s="4">
        <f t="shared" ref="AD25" si="289">IF($B25&gt;=0,L25,MOD((1-L25)+AE24,2))</f>
        <v>0</v>
      </c>
      <c r="AE25" s="5">
        <f t="shared" ref="AE25" si="290">IF($B25&gt;=0,M25,MOD((1-M25)+AF24,2))</f>
        <v>1</v>
      </c>
      <c r="AF25" s="5">
        <f t="shared" ref="AF25" si="291">IF($B25&gt;=0,N25,MOD((1-N25)+AG24,2))</f>
        <v>0</v>
      </c>
      <c r="AG25" s="5">
        <f t="shared" ref="AG25" si="292">IF($B25&gt;=0,O25,MOD((1-O25)+AH24,2))</f>
        <v>1</v>
      </c>
      <c r="AH25" s="5">
        <f t="shared" ref="AH25" si="293">IF($B25&gt;=0,P25,MOD((1-P25)+AI24,2))</f>
        <v>0</v>
      </c>
      <c r="AI25" s="6">
        <f t="shared" ref="AI25" si="294">IF($B25&gt;=0,Q25,MOD((1-Q25)+AJ24,2))</f>
        <v>0</v>
      </c>
      <c r="AJ25" s="6">
        <f t="shared" ref="AJ25" si="295">IF($B25&gt;=0,R25,MOD((1-R25)+AK24,2))</f>
        <v>1</v>
      </c>
      <c r="AK25" s="6">
        <f t="shared" ref="AK25" si="296">IF($B25&gt;=0,S25,MOD((1-S25)+AL24,2))</f>
        <v>1</v>
      </c>
      <c r="AL25" s="7">
        <f>IF($B25&gt;=0,T25,MOD((1-T25)+AM24,2))</f>
        <v>0</v>
      </c>
    </row>
    <row r="26" spans="1:39" x14ac:dyDescent="0.3">
      <c r="A26" s="1"/>
      <c r="D26" s="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  <c r="U26" s="1"/>
      <c r="V26" t="s">
        <v>28</v>
      </c>
      <c r="X26">
        <f t="shared" ref="X26" si="297">IF((1-X27)+Y26=2,1,0)</f>
        <v>0</v>
      </c>
      <c r="Y26">
        <f t="shared" ref="Y26" si="298">IF((1-Y27)+Z26=2,1,0)</f>
        <v>0</v>
      </c>
      <c r="Z26">
        <f t="shared" ref="Z26" si="299">IF((1-Z27)+AA26=2,1,0)</f>
        <v>0</v>
      </c>
      <c r="AA26">
        <f t="shared" ref="AA26" si="300">IF((1-AA27)+AB26=2,1,0)</f>
        <v>0</v>
      </c>
      <c r="AB26">
        <f t="shared" ref="AB26" si="301">IF((1-AB27)+AC26=2,1,0)</f>
        <v>0</v>
      </c>
      <c r="AC26">
        <f t="shared" ref="AC26" si="302">IF((1-AC27)+AD26=2,1,0)</f>
        <v>0</v>
      </c>
      <c r="AD26">
        <f t="shared" ref="AD26" si="303">IF((1-AD27)+AE26=2,1,0)</f>
        <v>0</v>
      </c>
      <c r="AE26">
        <f t="shared" ref="AE26" si="304">IF((1-AE27)+AF26=2,1,0)</f>
        <v>0</v>
      </c>
      <c r="AF26">
        <f t="shared" ref="AF26" si="305">IF((1-AF27)+AG26=2,1,0)</f>
        <v>0</v>
      </c>
      <c r="AG26">
        <f t="shared" ref="AG26" si="306">IF((1-AG27)+AH26=2,1,0)</f>
        <v>0</v>
      </c>
      <c r="AH26">
        <f t="shared" ref="AH26" si="307">IF((1-AH27)+AI26=2,1,0)</f>
        <v>0</v>
      </c>
      <c r="AI26">
        <f t="shared" ref="AI26" si="308">IF((1-AI27)+AJ26=2,1,0)</f>
        <v>0</v>
      </c>
      <c r="AJ26">
        <f t="shared" ref="AJ26" si="309">IF((1-AJ27)+AK26=2,1,0)</f>
        <v>0</v>
      </c>
      <c r="AK26">
        <f t="shared" ref="AK26" si="310">IF((1-AK27)+AL26=2,1,0)</f>
        <v>0</v>
      </c>
      <c r="AL26">
        <f>IF((1-AL27)+AM26=2,1,0)</f>
        <v>0</v>
      </c>
      <c r="AM26">
        <v>1</v>
      </c>
    </row>
    <row r="27" spans="1:39" x14ac:dyDescent="0.3">
      <c r="A27" s="2" t="s">
        <v>11</v>
      </c>
      <c r="B27">
        <f>-B15</f>
        <v>-17205</v>
      </c>
      <c r="D27" s="2" t="s">
        <v>25</v>
      </c>
      <c r="E27" s="3">
        <f t="shared" si="18"/>
        <v>0</v>
      </c>
      <c r="F27" s="3">
        <f t="shared" si="18"/>
        <v>1</v>
      </c>
      <c r="G27" s="3">
        <f t="shared" si="18"/>
        <v>0</v>
      </c>
      <c r="H27" s="3">
        <f t="shared" si="18"/>
        <v>0</v>
      </c>
      <c r="I27" s="4">
        <f t="shared" si="18"/>
        <v>0</v>
      </c>
      <c r="J27" s="4">
        <f t="shared" si="18"/>
        <v>0</v>
      </c>
      <c r="K27" s="4">
        <f t="shared" si="18"/>
        <v>1</v>
      </c>
      <c r="L27" s="4">
        <f t="shared" si="18"/>
        <v>1</v>
      </c>
      <c r="M27" s="5">
        <f t="shared" si="18"/>
        <v>0</v>
      </c>
      <c r="N27" s="5">
        <f t="shared" si="18"/>
        <v>0</v>
      </c>
      <c r="O27" s="5">
        <f t="shared" si="18"/>
        <v>1</v>
      </c>
      <c r="P27" s="5">
        <f t="shared" si="18"/>
        <v>1</v>
      </c>
      <c r="Q27" s="6">
        <f t="shared" si="18"/>
        <v>0</v>
      </c>
      <c r="R27" s="6">
        <f t="shared" si="18"/>
        <v>1</v>
      </c>
      <c r="S27" s="6">
        <f t="shared" si="18"/>
        <v>0</v>
      </c>
      <c r="T27" s="7">
        <f t="shared" si="19"/>
        <v>1</v>
      </c>
      <c r="U27" s="1"/>
      <c r="W27" s="3">
        <f t="shared" ref="W27" si="311">IF($B27&gt;=0,E27,MOD((1-E27)+X26,2))</f>
        <v>1</v>
      </c>
      <c r="X27" s="3">
        <f t="shared" ref="X27" si="312">IF($B27&gt;=0,F27,MOD((1-F27)+Y26,2))</f>
        <v>0</v>
      </c>
      <c r="Y27" s="3">
        <f t="shared" ref="Y27" si="313">IF($B27&gt;=0,G27,MOD((1-G27)+Z26,2))</f>
        <v>1</v>
      </c>
      <c r="Z27" s="3">
        <f t="shared" ref="Z27" si="314">IF($B27&gt;=0,H27,MOD((1-H27)+AA26,2))</f>
        <v>1</v>
      </c>
      <c r="AA27" s="4">
        <f t="shared" ref="AA27" si="315">IF($B27&gt;=0,I27,MOD((1-I27)+AB26,2))</f>
        <v>1</v>
      </c>
      <c r="AB27" s="4">
        <f t="shared" ref="AB27" si="316">IF($B27&gt;=0,J27,MOD((1-J27)+AC26,2))</f>
        <v>1</v>
      </c>
      <c r="AC27" s="4">
        <f t="shared" ref="AC27" si="317">IF($B27&gt;=0,K27,MOD((1-K27)+AD26,2))</f>
        <v>0</v>
      </c>
      <c r="AD27" s="4">
        <f t="shared" ref="AD27" si="318">IF($B27&gt;=0,L27,MOD((1-L27)+AE26,2))</f>
        <v>0</v>
      </c>
      <c r="AE27" s="5">
        <f t="shared" ref="AE27" si="319">IF($B27&gt;=0,M27,MOD((1-M27)+AF26,2))</f>
        <v>1</v>
      </c>
      <c r="AF27" s="5">
        <f t="shared" ref="AF27" si="320">IF($B27&gt;=0,N27,MOD((1-N27)+AG26,2))</f>
        <v>1</v>
      </c>
      <c r="AG27" s="5">
        <f t="shared" ref="AG27" si="321">IF($B27&gt;=0,O27,MOD((1-O27)+AH26,2))</f>
        <v>0</v>
      </c>
      <c r="AH27" s="5">
        <f t="shared" ref="AH27" si="322">IF($B27&gt;=0,P27,MOD((1-P27)+AI26,2))</f>
        <v>0</v>
      </c>
      <c r="AI27" s="6">
        <f t="shared" ref="AI27" si="323">IF($B27&gt;=0,Q27,MOD((1-Q27)+AJ26,2))</f>
        <v>1</v>
      </c>
      <c r="AJ27" s="6">
        <f t="shared" ref="AJ27" si="324">IF($B27&gt;=0,R27,MOD((1-R27)+AK26,2))</f>
        <v>0</v>
      </c>
      <c r="AK27" s="6">
        <f t="shared" ref="AK27" si="325">IF($B27&gt;=0,S27,MOD((1-S27)+AL26,2))</f>
        <v>1</v>
      </c>
      <c r="AL27" s="7">
        <f>IF($B27&gt;=0,T27,MOD((1-T27)+AM26,2))</f>
        <v>1</v>
      </c>
    </row>
    <row r="29" spans="1:39" x14ac:dyDescent="0.3">
      <c r="B29" t="s">
        <v>29</v>
      </c>
      <c r="C29" s="13" t="s">
        <v>30</v>
      </c>
    </row>
    <row r="31" spans="1:39" s="12" customFormat="1" x14ac:dyDescent="0.3"/>
    <row r="35" spans="12:31" x14ac:dyDescent="0.3">
      <c r="L35" s="8"/>
      <c r="M35" s="9"/>
      <c r="AD35" s="8"/>
      <c r="AE35" s="9"/>
    </row>
    <row r="36" spans="12:31" x14ac:dyDescent="0.3">
      <c r="L36" s="8"/>
      <c r="M36" s="9"/>
      <c r="AD36" s="8"/>
      <c r="AE36" s="9"/>
    </row>
    <row r="37" spans="12:31" x14ac:dyDescent="0.3">
      <c r="L37" s="8"/>
      <c r="M37" s="9"/>
      <c r="AD37" s="8"/>
      <c r="AE37" s="9"/>
    </row>
    <row r="38" spans="12:31" x14ac:dyDescent="0.3">
      <c r="L38" s="8"/>
      <c r="M38" s="9"/>
      <c r="AD38" s="8"/>
      <c r="AE38" s="9"/>
    </row>
    <row r="39" spans="12:31" x14ac:dyDescent="0.3">
      <c r="L39" s="8"/>
      <c r="M39" s="9"/>
      <c r="AD39" s="8"/>
      <c r="AE39" s="9"/>
    </row>
    <row r="40" spans="12:31" x14ac:dyDescent="0.3">
      <c r="L40" s="8"/>
      <c r="M40" s="9"/>
      <c r="AD40" s="8"/>
      <c r="AE40" s="9"/>
    </row>
    <row r="41" spans="12:31" x14ac:dyDescent="0.3">
      <c r="L41" s="8"/>
      <c r="M41" s="9"/>
      <c r="AD41" s="8"/>
      <c r="AE41" s="9"/>
    </row>
    <row r="42" spans="12:31" x14ac:dyDescent="0.3">
      <c r="L42" s="8"/>
      <c r="M42" s="9"/>
      <c r="AD42" s="8"/>
      <c r="AE42" s="9"/>
    </row>
    <row r="43" spans="12:31" x14ac:dyDescent="0.3">
      <c r="L43" s="8"/>
      <c r="M43" s="9"/>
      <c r="AD43" s="8"/>
      <c r="AE43" s="9"/>
    </row>
    <row r="44" spans="12:31" x14ac:dyDescent="0.3">
      <c r="L44" s="8"/>
      <c r="M44" s="9"/>
      <c r="AD44" s="8"/>
      <c r="AE44" s="9"/>
    </row>
    <row r="45" spans="12:31" x14ac:dyDescent="0.3">
      <c r="L45" s="8"/>
      <c r="M45" s="9"/>
      <c r="AD45" s="8"/>
      <c r="AE45" s="9"/>
    </row>
    <row r="46" spans="12:31" x14ac:dyDescent="0.3">
      <c r="L46" s="8"/>
      <c r="M46" s="9"/>
      <c r="AD46" s="8"/>
      <c r="AE46" s="9"/>
    </row>
  </sheetData>
  <phoneticPr fontId="3" type="noConversion"/>
  <pageMargins left="0.7" right="0.7" top="0.75" bottom="0.75" header="0.3" footer="0.3"/>
  <pageSetup paperSize="9" orientation="portrait" r:id="rId1"/>
  <headerFooter>
    <oddHeader xml:space="preserve">&amp;LЛищенер Кирилл Сергеевич&amp;CВариант 6&amp;RЛабороторная 5
</oddHeader>
    <oddFooter>&amp;C30.11.2025 22:30</oddFooter>
  </headerFooter>
  <ignoredErrors>
    <ignoredError sqref="AK5:AL5 X5:AJ5 X25:AL25 X23:AL23 X21:AL21 X19:AL19 X17:AL17 X15:AL15 X13:AL13 X11:AL11 X9:AL9 X7:AL7 X6:AL6 X8:AL8 X10:AL10 X12:AL12 X14:AL14 X16:AL16 X18:AL18 X20:AL20 X22:AL22 X24:AL24 X26:AL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51B2-AC98-46D0-AC49-E6907C3A46C4}">
  <dimension ref="A2:R14"/>
  <sheetViews>
    <sheetView workbookViewId="0">
      <selection activeCell="K18" sqref="K18"/>
    </sheetView>
  </sheetViews>
  <sheetFormatPr defaultRowHeight="14.4" x14ac:dyDescent="0.3"/>
  <cols>
    <col min="2" max="19" width="4.21875" customWidth="1"/>
  </cols>
  <sheetData>
    <row r="2" spans="1:18" x14ac:dyDescent="0.3">
      <c r="A2" s="1" t="s">
        <v>28</v>
      </c>
      <c r="C2" s="22">
        <f t="shared" ref="C2:Q2" si="0">IF(C3+C4+D2&gt;=2,1,0)</f>
        <v>0</v>
      </c>
      <c r="D2" s="22">
        <f t="shared" si="0"/>
        <v>0</v>
      </c>
      <c r="E2" s="22">
        <f t="shared" si="0"/>
        <v>0</v>
      </c>
      <c r="F2" s="22">
        <f t="shared" si="0"/>
        <v>0</v>
      </c>
      <c r="G2" s="22">
        <f t="shared" si="0"/>
        <v>1</v>
      </c>
      <c r="H2" s="22">
        <f t="shared" si="0"/>
        <v>0</v>
      </c>
      <c r="I2" s="22">
        <f t="shared" si="0"/>
        <v>1</v>
      </c>
      <c r="J2" s="22">
        <f t="shared" si="0"/>
        <v>1</v>
      </c>
      <c r="K2" s="22">
        <f t="shared" si="0"/>
        <v>1</v>
      </c>
      <c r="L2" s="22">
        <f t="shared" si="0"/>
        <v>1</v>
      </c>
      <c r="M2" s="22">
        <f t="shared" si="0"/>
        <v>1</v>
      </c>
      <c r="N2" s="22">
        <f t="shared" si="0"/>
        <v>1</v>
      </c>
      <c r="O2" s="22">
        <f t="shared" si="0"/>
        <v>1</v>
      </c>
      <c r="P2" s="22">
        <f t="shared" si="0"/>
        <v>1</v>
      </c>
      <c r="Q2" s="22">
        <f t="shared" si="0"/>
        <v>1</v>
      </c>
      <c r="R2" s="22">
        <f>IF(R3+R4&gt;=2,1,0)</f>
        <v>1</v>
      </c>
    </row>
    <row r="3" spans="1:18" x14ac:dyDescent="0.3">
      <c r="A3" s="1" t="s">
        <v>12</v>
      </c>
      <c r="C3" s="3" cm="1">
        <f t="array" ref="C3:R3">Главная!W5:AL5</f>
        <v>0</v>
      </c>
      <c r="D3" s="3">
        <v>0</v>
      </c>
      <c r="E3" s="3">
        <v>1</v>
      </c>
      <c r="F3" s="3">
        <v>0</v>
      </c>
      <c r="G3" s="4">
        <v>1</v>
      </c>
      <c r="H3" s="4">
        <v>0</v>
      </c>
      <c r="I3" s="4">
        <v>1</v>
      </c>
      <c r="J3" s="4">
        <v>1</v>
      </c>
      <c r="K3" s="5">
        <v>0</v>
      </c>
      <c r="L3" s="5">
        <v>1</v>
      </c>
      <c r="M3" s="5">
        <v>0</v>
      </c>
      <c r="N3" s="5">
        <v>1</v>
      </c>
      <c r="O3" s="6">
        <v>1</v>
      </c>
      <c r="P3" s="6">
        <v>1</v>
      </c>
      <c r="Q3" s="6">
        <v>0</v>
      </c>
      <c r="R3" s="6">
        <v>1</v>
      </c>
    </row>
    <row r="4" spans="1:18" ht="15" thickBot="1" x14ac:dyDescent="0.35">
      <c r="A4" s="1" t="s">
        <v>31</v>
      </c>
      <c r="C4" s="14" cm="1">
        <f t="array" ref="C4:R4">Главная!W7:AL7</f>
        <v>0</v>
      </c>
      <c r="D4" s="14">
        <v>1</v>
      </c>
      <c r="E4" s="14">
        <v>0</v>
      </c>
      <c r="F4" s="14">
        <v>0</v>
      </c>
      <c r="G4" s="15">
        <v>1</v>
      </c>
      <c r="H4" s="15">
        <v>0</v>
      </c>
      <c r="I4" s="15">
        <v>0</v>
      </c>
      <c r="J4" s="15">
        <v>0</v>
      </c>
      <c r="K4" s="16">
        <v>1</v>
      </c>
      <c r="L4" s="16">
        <v>0</v>
      </c>
      <c r="M4" s="16">
        <v>1</v>
      </c>
      <c r="N4" s="16">
        <v>1</v>
      </c>
      <c r="O4" s="17">
        <v>0</v>
      </c>
      <c r="P4" s="17">
        <v>1</v>
      </c>
      <c r="Q4" s="17">
        <v>1</v>
      </c>
      <c r="R4" s="17">
        <v>1</v>
      </c>
    </row>
    <row r="5" spans="1:18" ht="15" thickTop="1" x14ac:dyDescent="0.3">
      <c r="A5" s="1" t="s">
        <v>32</v>
      </c>
      <c r="C5" s="18">
        <f>MOD(C3+C4+D2,2)</f>
        <v>0</v>
      </c>
      <c r="D5" s="18">
        <f>MOD(D3+D4+E2,2)</f>
        <v>1</v>
      </c>
      <c r="E5" s="18">
        <f t="shared" ref="E5:Q5" si="1">MOD(E3+E4+F2,2)</f>
        <v>1</v>
      </c>
      <c r="F5" s="18">
        <f t="shared" si="1"/>
        <v>1</v>
      </c>
      <c r="G5" s="19">
        <f t="shared" si="1"/>
        <v>0</v>
      </c>
      <c r="H5" s="19">
        <f t="shared" si="1"/>
        <v>1</v>
      </c>
      <c r="I5" s="19">
        <f t="shared" si="1"/>
        <v>0</v>
      </c>
      <c r="J5" s="19">
        <f t="shared" si="1"/>
        <v>0</v>
      </c>
      <c r="K5" s="20">
        <f t="shared" si="1"/>
        <v>0</v>
      </c>
      <c r="L5" s="20">
        <f t="shared" si="1"/>
        <v>0</v>
      </c>
      <c r="M5" s="20">
        <f t="shared" si="1"/>
        <v>0</v>
      </c>
      <c r="N5" s="20">
        <f t="shared" si="1"/>
        <v>1</v>
      </c>
      <c r="O5" s="21">
        <f t="shared" si="1"/>
        <v>0</v>
      </c>
      <c r="P5" s="21">
        <f t="shared" si="1"/>
        <v>1</v>
      </c>
      <c r="Q5" s="21">
        <f t="shared" si="1"/>
        <v>0</v>
      </c>
      <c r="R5" s="21">
        <f>MOD(R3+R4,2)</f>
        <v>0</v>
      </c>
    </row>
    <row r="6" spans="1:18" x14ac:dyDescent="0.3">
      <c r="A6" s="1"/>
    </row>
    <row r="7" spans="1:18" x14ac:dyDescent="0.3">
      <c r="A7" s="1" t="s">
        <v>33</v>
      </c>
      <c r="B7" s="1">
        <f>C2</f>
        <v>0</v>
      </c>
    </row>
    <row r="8" spans="1:18" x14ac:dyDescent="0.3">
      <c r="A8" s="1" t="s">
        <v>34</v>
      </c>
      <c r="B8" s="1">
        <f>MOD(COUNTIF(K5:R5,"=1"),2)</f>
        <v>0</v>
      </c>
    </row>
    <row r="9" spans="1:18" x14ac:dyDescent="0.3">
      <c r="A9" s="1" t="s">
        <v>35</v>
      </c>
      <c r="B9" s="1">
        <f>P2</f>
        <v>1</v>
      </c>
    </row>
    <row r="10" spans="1:18" x14ac:dyDescent="0.3">
      <c r="A10" s="1" t="s">
        <v>36</v>
      </c>
      <c r="B10" s="1">
        <f>IF(COUNTIF(C5:R5,"=1")=0,1,0)</f>
        <v>0</v>
      </c>
    </row>
    <row r="11" spans="1:18" x14ac:dyDescent="0.3">
      <c r="A11" s="1" t="s">
        <v>37</v>
      </c>
      <c r="B11" s="1">
        <f>C5</f>
        <v>0</v>
      </c>
    </row>
    <row r="12" spans="1:18" x14ac:dyDescent="0.3">
      <c r="A12" s="1" t="s">
        <v>38</v>
      </c>
      <c r="B12" s="1">
        <f>MOD(C2+D2,2)</f>
        <v>0</v>
      </c>
    </row>
    <row r="13" spans="1:18" x14ac:dyDescent="0.3">
      <c r="A13" s="1"/>
      <c r="B13" s="23"/>
    </row>
    <row r="14" spans="1:18" x14ac:dyDescent="0.3">
      <c r="A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0120-46E7-40C5-922D-49D98B6D46BC}">
  <dimension ref="A1:R13"/>
  <sheetViews>
    <sheetView workbookViewId="0">
      <selection activeCell="C5" sqref="C5"/>
    </sheetView>
  </sheetViews>
  <sheetFormatPr defaultRowHeight="14.4" x14ac:dyDescent="0.3"/>
  <cols>
    <col min="2" max="19" width="4.21875" customWidth="1"/>
  </cols>
  <sheetData>
    <row r="1" spans="1:18" x14ac:dyDescent="0.3">
      <c r="A1" s="1"/>
    </row>
    <row r="2" spans="1:18" x14ac:dyDescent="0.3">
      <c r="A2" s="1" t="s">
        <v>28</v>
      </c>
      <c r="C2" s="22">
        <f t="shared" ref="C2:Q2" si="0">IF(C3+C4+D2&gt;=2,1,0)</f>
        <v>0</v>
      </c>
      <c r="D2" s="22">
        <f t="shared" si="0"/>
        <v>1</v>
      </c>
      <c r="E2" s="22">
        <f t="shared" si="0"/>
        <v>0</v>
      </c>
      <c r="F2" s="22">
        <f t="shared" si="0"/>
        <v>0</v>
      </c>
      <c r="G2" s="22">
        <f t="shared" si="0"/>
        <v>0</v>
      </c>
      <c r="H2" s="22">
        <f t="shared" si="0"/>
        <v>0</v>
      </c>
      <c r="I2" s="22">
        <f t="shared" si="0"/>
        <v>0</v>
      </c>
      <c r="J2" s="22">
        <f t="shared" si="0"/>
        <v>0</v>
      </c>
      <c r="K2" s="22">
        <f t="shared" si="0"/>
        <v>0</v>
      </c>
      <c r="L2" s="22">
        <f t="shared" si="0"/>
        <v>0</v>
      </c>
      <c r="M2" s="22">
        <f t="shared" si="0"/>
        <v>1</v>
      </c>
      <c r="N2" s="22">
        <f t="shared" si="0"/>
        <v>1</v>
      </c>
      <c r="O2" s="22">
        <f t="shared" si="0"/>
        <v>0</v>
      </c>
      <c r="P2" s="22">
        <f t="shared" si="0"/>
        <v>1</v>
      </c>
      <c r="Q2" s="22">
        <f t="shared" si="0"/>
        <v>0</v>
      </c>
      <c r="R2" s="22">
        <f>IF(R3+R4&gt;=2,1,0)</f>
        <v>0</v>
      </c>
    </row>
    <row r="3" spans="1:18" x14ac:dyDescent="0.3">
      <c r="A3" s="1" t="s">
        <v>12</v>
      </c>
      <c r="C3" s="3" cm="1">
        <f t="array" ref="C3:R3">Главная!W7:AL7</f>
        <v>0</v>
      </c>
      <c r="D3" s="3">
        <v>1</v>
      </c>
      <c r="E3" s="3">
        <v>0</v>
      </c>
      <c r="F3" s="3">
        <v>0</v>
      </c>
      <c r="G3" s="4">
        <v>1</v>
      </c>
      <c r="H3" s="4">
        <v>0</v>
      </c>
      <c r="I3" s="4">
        <v>0</v>
      </c>
      <c r="J3" s="4">
        <v>0</v>
      </c>
      <c r="K3" s="5">
        <v>1</v>
      </c>
      <c r="L3" s="5">
        <v>0</v>
      </c>
      <c r="M3" s="5">
        <v>1</v>
      </c>
      <c r="N3" s="5">
        <v>1</v>
      </c>
      <c r="O3" s="6">
        <v>0</v>
      </c>
      <c r="P3" s="6">
        <v>1</v>
      </c>
      <c r="Q3" s="6">
        <v>1</v>
      </c>
      <c r="R3" s="6">
        <v>1</v>
      </c>
    </row>
    <row r="4" spans="1:18" ht="15" thickBot="1" x14ac:dyDescent="0.35">
      <c r="A4" s="1" t="s">
        <v>31</v>
      </c>
      <c r="C4" s="14" cm="1">
        <f t="array" ref="C4:R4">Главная!W9:AL9</f>
        <v>0</v>
      </c>
      <c r="D4" s="14">
        <v>1</v>
      </c>
      <c r="E4" s="14">
        <v>1</v>
      </c>
      <c r="F4" s="14">
        <v>1</v>
      </c>
      <c r="G4" s="15">
        <v>0</v>
      </c>
      <c r="H4" s="15">
        <v>1</v>
      </c>
      <c r="I4" s="15">
        <v>0</v>
      </c>
      <c r="J4" s="15">
        <v>0</v>
      </c>
      <c r="K4" s="16">
        <v>0</v>
      </c>
      <c r="L4" s="16">
        <v>0</v>
      </c>
      <c r="M4" s="16">
        <v>0</v>
      </c>
      <c r="N4" s="16">
        <v>1</v>
      </c>
      <c r="O4" s="17">
        <v>0</v>
      </c>
      <c r="P4" s="17">
        <v>1</v>
      </c>
      <c r="Q4" s="17">
        <v>0</v>
      </c>
      <c r="R4" s="17">
        <v>0</v>
      </c>
    </row>
    <row r="5" spans="1:18" ht="15" thickTop="1" x14ac:dyDescent="0.3">
      <c r="A5" s="1" t="s">
        <v>32</v>
      </c>
      <c r="C5" s="18">
        <f>MOD(C3+C4+D2,2)</f>
        <v>1</v>
      </c>
      <c r="D5" s="18">
        <f>MOD(D3+D4+E2,2)</f>
        <v>0</v>
      </c>
      <c r="E5" s="18">
        <f t="shared" ref="E5:Q5" si="1">MOD(E3+E4+F2,2)</f>
        <v>1</v>
      </c>
      <c r="F5" s="18">
        <f t="shared" si="1"/>
        <v>1</v>
      </c>
      <c r="G5" s="19">
        <f t="shared" si="1"/>
        <v>1</v>
      </c>
      <c r="H5" s="19">
        <f t="shared" si="1"/>
        <v>1</v>
      </c>
      <c r="I5" s="19">
        <f t="shared" si="1"/>
        <v>0</v>
      </c>
      <c r="J5" s="19">
        <f t="shared" si="1"/>
        <v>0</v>
      </c>
      <c r="K5" s="20">
        <f t="shared" si="1"/>
        <v>1</v>
      </c>
      <c r="L5" s="20">
        <f t="shared" si="1"/>
        <v>1</v>
      </c>
      <c r="M5" s="20">
        <f t="shared" si="1"/>
        <v>0</v>
      </c>
      <c r="N5" s="20">
        <f t="shared" si="1"/>
        <v>0</v>
      </c>
      <c r="O5" s="21">
        <f t="shared" si="1"/>
        <v>1</v>
      </c>
      <c r="P5" s="21">
        <f t="shared" si="1"/>
        <v>0</v>
      </c>
      <c r="Q5" s="21">
        <f t="shared" si="1"/>
        <v>1</v>
      </c>
      <c r="R5" s="21">
        <f>MOD(R3+R4,2)</f>
        <v>1</v>
      </c>
    </row>
    <row r="6" spans="1:18" x14ac:dyDescent="0.3">
      <c r="A6" s="1"/>
    </row>
    <row r="7" spans="1:18" x14ac:dyDescent="0.3">
      <c r="A7" s="1" t="s">
        <v>33</v>
      </c>
      <c r="B7" s="1">
        <f>C2</f>
        <v>0</v>
      </c>
    </row>
    <row r="8" spans="1:18" x14ac:dyDescent="0.3">
      <c r="A8" s="1" t="s">
        <v>34</v>
      </c>
      <c r="B8" s="1">
        <f>MOD(COUNTIF(K5:R5,"=1"),2)</f>
        <v>1</v>
      </c>
    </row>
    <row r="9" spans="1:18" x14ac:dyDescent="0.3">
      <c r="A9" s="1" t="s">
        <v>35</v>
      </c>
      <c r="B9" s="1">
        <f>P2</f>
        <v>1</v>
      </c>
    </row>
    <row r="10" spans="1:18" x14ac:dyDescent="0.3">
      <c r="A10" s="1" t="s">
        <v>36</v>
      </c>
      <c r="B10" s="1">
        <f>IF(COUNTIF(C5:R5,"=1")=0,1,0)</f>
        <v>0</v>
      </c>
    </row>
    <row r="11" spans="1:18" x14ac:dyDescent="0.3">
      <c r="A11" s="1" t="s">
        <v>37</v>
      </c>
      <c r="B11" s="1">
        <f>C5</f>
        <v>1</v>
      </c>
    </row>
    <row r="12" spans="1:18" x14ac:dyDescent="0.3">
      <c r="A12" s="1" t="s">
        <v>38</v>
      </c>
      <c r="B12" s="1">
        <f>MOD(C2+D2,2)</f>
        <v>1</v>
      </c>
    </row>
    <row r="13" spans="1:18" x14ac:dyDescent="0.3">
      <c r="A13" s="1"/>
      <c r="B13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2869-7F59-42AB-B9D5-CB2E1E0EB90A}">
  <dimension ref="A1:R13"/>
  <sheetViews>
    <sheetView workbookViewId="0">
      <selection activeCell="S5" sqref="S5"/>
    </sheetView>
  </sheetViews>
  <sheetFormatPr defaultRowHeight="14.4" x14ac:dyDescent="0.3"/>
  <cols>
    <col min="2" max="19" width="4.21875" customWidth="1"/>
  </cols>
  <sheetData>
    <row r="1" spans="1:18" x14ac:dyDescent="0.3">
      <c r="A1" s="1"/>
    </row>
    <row r="2" spans="1:18" x14ac:dyDescent="0.3">
      <c r="A2" s="1" t="s">
        <v>28</v>
      </c>
      <c r="C2" s="22">
        <f t="shared" ref="C2:Q2" si="0">IF(C3+C4+D2&gt;=2,1,0)</f>
        <v>1</v>
      </c>
      <c r="D2" s="22">
        <f t="shared" si="0"/>
        <v>1</v>
      </c>
      <c r="E2" s="22">
        <f t="shared" si="0"/>
        <v>0</v>
      </c>
      <c r="F2" s="22">
        <f t="shared" si="0"/>
        <v>0</v>
      </c>
      <c r="G2" s="22">
        <f t="shared" si="0"/>
        <v>0</v>
      </c>
      <c r="H2" s="22">
        <f t="shared" si="0"/>
        <v>0</v>
      </c>
      <c r="I2" s="22">
        <f t="shared" si="0"/>
        <v>0</v>
      </c>
      <c r="J2" s="22">
        <f t="shared" si="0"/>
        <v>0</v>
      </c>
      <c r="K2" s="22">
        <f t="shared" si="0"/>
        <v>1</v>
      </c>
      <c r="L2" s="22">
        <f t="shared" si="0"/>
        <v>0</v>
      </c>
      <c r="M2" s="22">
        <f t="shared" si="0"/>
        <v>1</v>
      </c>
      <c r="N2" s="22">
        <f t="shared" si="0"/>
        <v>0</v>
      </c>
      <c r="O2" s="22">
        <f t="shared" si="0"/>
        <v>0</v>
      </c>
      <c r="P2" s="22">
        <f t="shared" si="0"/>
        <v>1</v>
      </c>
      <c r="Q2" s="22">
        <f t="shared" si="0"/>
        <v>1</v>
      </c>
      <c r="R2" s="22">
        <f>IF(R3+R4&gt;=2,1,0)</f>
        <v>1</v>
      </c>
    </row>
    <row r="3" spans="1:18" x14ac:dyDescent="0.3">
      <c r="A3" s="1" t="s">
        <v>12</v>
      </c>
      <c r="C3" s="3" cm="1">
        <f t="array" ref="C3:R3">Главная!W7:AL7</f>
        <v>0</v>
      </c>
      <c r="D3" s="3">
        <v>1</v>
      </c>
      <c r="E3" s="3">
        <v>0</v>
      </c>
      <c r="F3" s="3">
        <v>0</v>
      </c>
      <c r="G3" s="4">
        <v>1</v>
      </c>
      <c r="H3" s="4">
        <v>0</v>
      </c>
      <c r="I3" s="4">
        <v>0</v>
      </c>
      <c r="J3" s="4">
        <v>0</v>
      </c>
      <c r="K3" s="5">
        <v>1</v>
      </c>
      <c r="L3" s="5">
        <v>0</v>
      </c>
      <c r="M3" s="5">
        <v>1</v>
      </c>
      <c r="N3" s="5">
        <v>1</v>
      </c>
      <c r="O3" s="6">
        <v>0</v>
      </c>
      <c r="P3" s="6">
        <v>1</v>
      </c>
      <c r="Q3" s="6">
        <v>1</v>
      </c>
      <c r="R3" s="6">
        <v>1</v>
      </c>
    </row>
    <row r="4" spans="1:18" ht="15" thickBot="1" x14ac:dyDescent="0.35">
      <c r="A4" s="1" t="s">
        <v>31</v>
      </c>
      <c r="C4" s="14" cm="1">
        <f t="array" ref="C4:R4">Главная!W17:AL17</f>
        <v>1</v>
      </c>
      <c r="D4" s="14">
        <v>1</v>
      </c>
      <c r="E4" s="14">
        <v>0</v>
      </c>
      <c r="F4" s="14">
        <v>1</v>
      </c>
      <c r="G4" s="15">
        <v>0</v>
      </c>
      <c r="H4" s="15">
        <v>1</v>
      </c>
      <c r="I4" s="15">
        <v>0</v>
      </c>
      <c r="J4" s="15">
        <v>0</v>
      </c>
      <c r="K4" s="16">
        <v>1</v>
      </c>
      <c r="L4" s="16">
        <v>0</v>
      </c>
      <c r="M4" s="16">
        <v>1</v>
      </c>
      <c r="N4" s="16">
        <v>0</v>
      </c>
      <c r="O4" s="17">
        <v>0</v>
      </c>
      <c r="P4" s="17">
        <v>0</v>
      </c>
      <c r="Q4" s="17">
        <v>1</v>
      </c>
      <c r="R4" s="17">
        <v>1</v>
      </c>
    </row>
    <row r="5" spans="1:18" ht="15" thickTop="1" x14ac:dyDescent="0.3">
      <c r="A5" s="1" t="s">
        <v>32</v>
      </c>
      <c r="C5" s="18">
        <f>MOD(C3+C4+D2,2)</f>
        <v>0</v>
      </c>
      <c r="D5" s="18">
        <f>MOD(D3+D4+E2,2)</f>
        <v>0</v>
      </c>
      <c r="E5" s="18">
        <f t="shared" ref="E5:Q5" si="1">MOD(E3+E4+F2,2)</f>
        <v>0</v>
      </c>
      <c r="F5" s="18">
        <f t="shared" si="1"/>
        <v>1</v>
      </c>
      <c r="G5" s="19">
        <f t="shared" si="1"/>
        <v>1</v>
      </c>
      <c r="H5" s="19">
        <f t="shared" si="1"/>
        <v>1</v>
      </c>
      <c r="I5" s="19">
        <f t="shared" si="1"/>
        <v>0</v>
      </c>
      <c r="J5" s="19">
        <f t="shared" si="1"/>
        <v>1</v>
      </c>
      <c r="K5" s="20">
        <f t="shared" si="1"/>
        <v>0</v>
      </c>
      <c r="L5" s="20">
        <f t="shared" si="1"/>
        <v>1</v>
      </c>
      <c r="M5" s="20">
        <f t="shared" si="1"/>
        <v>0</v>
      </c>
      <c r="N5" s="20">
        <f t="shared" si="1"/>
        <v>1</v>
      </c>
      <c r="O5" s="21">
        <f t="shared" si="1"/>
        <v>1</v>
      </c>
      <c r="P5" s="21">
        <f t="shared" si="1"/>
        <v>0</v>
      </c>
      <c r="Q5" s="21">
        <f t="shared" si="1"/>
        <v>1</v>
      </c>
      <c r="R5" s="21">
        <f>MOD(R3+R4,2)</f>
        <v>0</v>
      </c>
    </row>
    <row r="6" spans="1:18" x14ac:dyDescent="0.3">
      <c r="A6" s="1"/>
    </row>
    <row r="7" spans="1:18" x14ac:dyDescent="0.3">
      <c r="A7" s="1" t="s">
        <v>33</v>
      </c>
      <c r="B7" s="1">
        <f>C2</f>
        <v>1</v>
      </c>
    </row>
    <row r="8" spans="1:18" x14ac:dyDescent="0.3">
      <c r="A8" s="1" t="s">
        <v>34</v>
      </c>
      <c r="B8" s="1">
        <f>MOD(COUNTIF(K5:R5,"=1"),2)</f>
        <v>0</v>
      </c>
    </row>
    <row r="9" spans="1:18" x14ac:dyDescent="0.3">
      <c r="A9" s="1" t="s">
        <v>35</v>
      </c>
      <c r="B9" s="1">
        <f>P2</f>
        <v>1</v>
      </c>
    </row>
    <row r="10" spans="1:18" x14ac:dyDescent="0.3">
      <c r="A10" s="1" t="s">
        <v>36</v>
      </c>
      <c r="B10" s="1">
        <f>IF(COUNTIF(C5:R5,"=1")=0,1,0)</f>
        <v>0</v>
      </c>
    </row>
    <row r="11" spans="1:18" x14ac:dyDescent="0.3">
      <c r="A11" s="1" t="s">
        <v>37</v>
      </c>
      <c r="B11" s="1">
        <f>C5</f>
        <v>0</v>
      </c>
    </row>
    <row r="12" spans="1:18" x14ac:dyDescent="0.3">
      <c r="A12" s="1" t="s">
        <v>38</v>
      </c>
      <c r="B12" s="1">
        <f>MOD(C2+D2,2)</f>
        <v>0</v>
      </c>
    </row>
    <row r="13" spans="1:18" x14ac:dyDescent="0.3">
      <c r="A13" s="1"/>
      <c r="B13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68A0-3FFA-4E2A-B822-B3501020C256}">
  <dimension ref="A1:R13"/>
  <sheetViews>
    <sheetView workbookViewId="0">
      <selection activeCell="C5" sqref="C5"/>
    </sheetView>
  </sheetViews>
  <sheetFormatPr defaultRowHeight="14.4" x14ac:dyDescent="0.3"/>
  <cols>
    <col min="2" max="19" width="4.21875" customWidth="1"/>
  </cols>
  <sheetData>
    <row r="1" spans="1:18" x14ac:dyDescent="0.3">
      <c r="A1" s="1"/>
    </row>
    <row r="2" spans="1:18" x14ac:dyDescent="0.3">
      <c r="A2" s="1" t="s">
        <v>28</v>
      </c>
      <c r="C2" s="22">
        <f t="shared" ref="C2:Q2" si="0">IF(C3+C4+D2&gt;=2,1,0)</f>
        <v>1</v>
      </c>
      <c r="D2" s="22">
        <f t="shared" si="0"/>
        <v>1</v>
      </c>
      <c r="E2" s="22">
        <f t="shared" si="0"/>
        <v>1</v>
      </c>
      <c r="F2" s="22">
        <f t="shared" si="0"/>
        <v>1</v>
      </c>
      <c r="G2" s="22">
        <f t="shared" si="0"/>
        <v>0</v>
      </c>
      <c r="H2" s="22">
        <f t="shared" si="0"/>
        <v>1</v>
      </c>
      <c r="I2" s="22">
        <f t="shared" si="0"/>
        <v>0</v>
      </c>
      <c r="J2" s="22">
        <f t="shared" si="0"/>
        <v>0</v>
      </c>
      <c r="K2" s="22">
        <f t="shared" si="0"/>
        <v>0</v>
      </c>
      <c r="L2" s="22">
        <f t="shared" si="0"/>
        <v>0</v>
      </c>
      <c r="M2" s="22">
        <f t="shared" si="0"/>
        <v>0</v>
      </c>
      <c r="N2" s="22">
        <f t="shared" si="0"/>
        <v>0</v>
      </c>
      <c r="O2" s="22">
        <f t="shared" si="0"/>
        <v>0</v>
      </c>
      <c r="P2" s="22">
        <f t="shared" si="0"/>
        <v>0</v>
      </c>
      <c r="Q2" s="22">
        <f t="shared" si="0"/>
        <v>1</v>
      </c>
      <c r="R2" s="22">
        <f>IF(R3+R4&gt;=2,1,0)</f>
        <v>1</v>
      </c>
    </row>
    <row r="3" spans="1:18" x14ac:dyDescent="0.3">
      <c r="A3" s="1" t="s">
        <v>12</v>
      </c>
      <c r="C3" s="3" cm="1">
        <f t="array" ref="C3:R3">Главная!W17:AL17</f>
        <v>1</v>
      </c>
      <c r="D3" s="3">
        <v>1</v>
      </c>
      <c r="E3" s="3">
        <v>0</v>
      </c>
      <c r="F3" s="3">
        <v>1</v>
      </c>
      <c r="G3" s="4">
        <v>0</v>
      </c>
      <c r="H3" s="4">
        <v>1</v>
      </c>
      <c r="I3" s="4">
        <v>0</v>
      </c>
      <c r="J3" s="4">
        <v>0</v>
      </c>
      <c r="K3" s="5">
        <v>1</v>
      </c>
      <c r="L3" s="5">
        <v>0</v>
      </c>
      <c r="M3" s="5">
        <v>1</v>
      </c>
      <c r="N3" s="5">
        <v>0</v>
      </c>
      <c r="O3" s="6">
        <v>0</v>
      </c>
      <c r="P3" s="6">
        <v>0</v>
      </c>
      <c r="Q3" s="6">
        <v>1</v>
      </c>
      <c r="R3" s="6">
        <v>1</v>
      </c>
    </row>
    <row r="4" spans="1:18" ht="15" thickBot="1" x14ac:dyDescent="0.35">
      <c r="A4" s="1" t="s">
        <v>31</v>
      </c>
      <c r="C4" s="14" cm="1">
        <f t="array" ref="C4:R4">Главная!W19:AL19</f>
        <v>1</v>
      </c>
      <c r="D4" s="14">
        <v>0</v>
      </c>
      <c r="E4" s="14">
        <v>1</v>
      </c>
      <c r="F4" s="14">
        <v>1</v>
      </c>
      <c r="G4" s="15">
        <v>0</v>
      </c>
      <c r="H4" s="15">
        <v>1</v>
      </c>
      <c r="I4" s="15">
        <v>1</v>
      </c>
      <c r="J4" s="15">
        <v>1</v>
      </c>
      <c r="K4" s="16">
        <v>0</v>
      </c>
      <c r="L4" s="16">
        <v>1</v>
      </c>
      <c r="M4" s="16">
        <v>0</v>
      </c>
      <c r="N4" s="16">
        <v>0</v>
      </c>
      <c r="O4" s="17">
        <v>1</v>
      </c>
      <c r="P4" s="17">
        <v>0</v>
      </c>
      <c r="Q4" s="17">
        <v>0</v>
      </c>
      <c r="R4" s="17">
        <v>1</v>
      </c>
    </row>
    <row r="5" spans="1:18" ht="15" thickTop="1" x14ac:dyDescent="0.3">
      <c r="A5" s="1" t="s">
        <v>32</v>
      </c>
      <c r="C5" s="18">
        <f>MOD(C3+C4+D2,2)</f>
        <v>1</v>
      </c>
      <c r="D5" s="18">
        <f>MOD(D3+D4+E2,2)</f>
        <v>0</v>
      </c>
      <c r="E5" s="18">
        <f t="shared" ref="E5:Q5" si="1">MOD(E3+E4+F2,2)</f>
        <v>0</v>
      </c>
      <c r="F5" s="18">
        <f t="shared" si="1"/>
        <v>0</v>
      </c>
      <c r="G5" s="19">
        <f t="shared" si="1"/>
        <v>1</v>
      </c>
      <c r="H5" s="19">
        <f t="shared" si="1"/>
        <v>0</v>
      </c>
      <c r="I5" s="19">
        <f t="shared" si="1"/>
        <v>1</v>
      </c>
      <c r="J5" s="19">
        <f t="shared" si="1"/>
        <v>1</v>
      </c>
      <c r="K5" s="20">
        <f t="shared" si="1"/>
        <v>1</v>
      </c>
      <c r="L5" s="20">
        <f t="shared" si="1"/>
        <v>1</v>
      </c>
      <c r="M5" s="20">
        <f t="shared" si="1"/>
        <v>1</v>
      </c>
      <c r="N5" s="20">
        <f t="shared" si="1"/>
        <v>0</v>
      </c>
      <c r="O5" s="21">
        <f t="shared" si="1"/>
        <v>1</v>
      </c>
      <c r="P5" s="21">
        <f t="shared" si="1"/>
        <v>1</v>
      </c>
      <c r="Q5" s="21">
        <f t="shared" si="1"/>
        <v>0</v>
      </c>
      <c r="R5" s="21">
        <f>MOD(R3+R4,2)</f>
        <v>0</v>
      </c>
    </row>
    <row r="6" spans="1:18" x14ac:dyDescent="0.3">
      <c r="A6" s="1"/>
    </row>
    <row r="7" spans="1:18" x14ac:dyDescent="0.3">
      <c r="A7" s="1" t="s">
        <v>33</v>
      </c>
      <c r="B7" s="1">
        <f>C2</f>
        <v>1</v>
      </c>
    </row>
    <row r="8" spans="1:18" x14ac:dyDescent="0.3">
      <c r="A8" s="1" t="s">
        <v>34</v>
      </c>
      <c r="B8" s="1">
        <f>MOD(COUNTIF(K5:R5,"=1"),2)</f>
        <v>1</v>
      </c>
    </row>
    <row r="9" spans="1:18" x14ac:dyDescent="0.3">
      <c r="A9" s="1" t="s">
        <v>35</v>
      </c>
      <c r="B9" s="1">
        <f>P2</f>
        <v>0</v>
      </c>
    </row>
    <row r="10" spans="1:18" x14ac:dyDescent="0.3">
      <c r="A10" s="1" t="s">
        <v>36</v>
      </c>
      <c r="B10" s="1">
        <f>IF(COUNTIF(C5:R5,"=1")=0,1,0)</f>
        <v>0</v>
      </c>
    </row>
    <row r="11" spans="1:18" x14ac:dyDescent="0.3">
      <c r="A11" s="1" t="s">
        <v>37</v>
      </c>
      <c r="B11" s="1">
        <f>C5</f>
        <v>1</v>
      </c>
    </row>
    <row r="12" spans="1:18" x14ac:dyDescent="0.3">
      <c r="A12" s="1" t="s">
        <v>38</v>
      </c>
      <c r="B12" s="1">
        <f>MOD(C2+D2,2)</f>
        <v>0</v>
      </c>
    </row>
    <row r="13" spans="1:18" x14ac:dyDescent="0.3">
      <c r="A13" s="1"/>
      <c r="B13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9807-091B-4375-A521-A833C8D21045}">
  <dimension ref="A1:R13"/>
  <sheetViews>
    <sheetView workbookViewId="0">
      <selection activeCell="Q21" sqref="Q21"/>
    </sheetView>
  </sheetViews>
  <sheetFormatPr defaultRowHeight="14.4" x14ac:dyDescent="0.3"/>
  <cols>
    <col min="2" max="19" width="4.21875" customWidth="1"/>
  </cols>
  <sheetData>
    <row r="1" spans="1:18" x14ac:dyDescent="0.3">
      <c r="A1" s="1"/>
    </row>
    <row r="2" spans="1:18" x14ac:dyDescent="0.3">
      <c r="A2" s="1" t="s">
        <v>28</v>
      </c>
      <c r="C2" s="22">
        <f t="shared" ref="C2:Q2" si="0">IF(C3+C4+D2&gt;=2,1,0)</f>
        <v>1</v>
      </c>
      <c r="D2" s="22">
        <f t="shared" si="0"/>
        <v>0</v>
      </c>
      <c r="E2" s="22">
        <f t="shared" si="0"/>
        <v>1</v>
      </c>
      <c r="F2" s="22">
        <f t="shared" si="0"/>
        <v>1</v>
      </c>
      <c r="G2" s="22">
        <f t="shared" si="0"/>
        <v>1</v>
      </c>
      <c r="H2" s="22">
        <f t="shared" si="0"/>
        <v>1</v>
      </c>
      <c r="I2" s="22">
        <f t="shared" si="0"/>
        <v>1</v>
      </c>
      <c r="J2" s="22">
        <f t="shared" si="0"/>
        <v>1</v>
      </c>
      <c r="K2" s="22">
        <f t="shared" si="0"/>
        <v>1</v>
      </c>
      <c r="L2" s="22">
        <f t="shared" si="0"/>
        <v>1</v>
      </c>
      <c r="M2" s="22">
        <f t="shared" si="0"/>
        <v>0</v>
      </c>
      <c r="N2" s="22">
        <f t="shared" si="0"/>
        <v>0</v>
      </c>
      <c r="O2" s="22">
        <f t="shared" si="0"/>
        <v>1</v>
      </c>
      <c r="P2" s="22">
        <f t="shared" si="0"/>
        <v>0</v>
      </c>
      <c r="Q2" s="22">
        <f t="shared" si="0"/>
        <v>0</v>
      </c>
      <c r="R2" s="22">
        <f>IF(R3+R4&gt;=2,1,0)</f>
        <v>0</v>
      </c>
    </row>
    <row r="3" spans="1:18" x14ac:dyDescent="0.3">
      <c r="A3" s="1" t="s">
        <v>12</v>
      </c>
      <c r="C3" s="3" cm="1">
        <f t="array" ref="C3:R3">Главная!W19:AL19</f>
        <v>1</v>
      </c>
      <c r="D3" s="3">
        <v>0</v>
      </c>
      <c r="E3" s="3">
        <v>1</v>
      </c>
      <c r="F3" s="3">
        <v>1</v>
      </c>
      <c r="G3" s="4">
        <v>0</v>
      </c>
      <c r="H3" s="4">
        <v>1</v>
      </c>
      <c r="I3" s="4">
        <v>1</v>
      </c>
      <c r="J3" s="4">
        <v>1</v>
      </c>
      <c r="K3" s="5">
        <v>0</v>
      </c>
      <c r="L3" s="5">
        <v>1</v>
      </c>
      <c r="M3" s="5">
        <v>0</v>
      </c>
      <c r="N3" s="5">
        <v>0</v>
      </c>
      <c r="O3" s="6">
        <v>1</v>
      </c>
      <c r="P3" s="6">
        <v>0</v>
      </c>
      <c r="Q3" s="6">
        <v>0</v>
      </c>
      <c r="R3" s="6">
        <v>1</v>
      </c>
    </row>
    <row r="4" spans="1:18" ht="15" thickBot="1" x14ac:dyDescent="0.35">
      <c r="A4" s="1" t="s">
        <v>31</v>
      </c>
      <c r="C4" s="14" cm="1">
        <f t="array" ref="C4:R4">Главная!W21:AL21</f>
        <v>1</v>
      </c>
      <c r="D4" s="14">
        <v>0</v>
      </c>
      <c r="E4" s="14">
        <v>0</v>
      </c>
      <c r="F4" s="14">
        <v>0</v>
      </c>
      <c r="G4" s="15">
        <v>1</v>
      </c>
      <c r="H4" s="15">
        <v>0</v>
      </c>
      <c r="I4" s="15">
        <v>1</v>
      </c>
      <c r="J4" s="15">
        <v>1</v>
      </c>
      <c r="K4" s="16">
        <v>1</v>
      </c>
      <c r="L4" s="16">
        <v>1</v>
      </c>
      <c r="M4" s="16">
        <v>1</v>
      </c>
      <c r="N4" s="16">
        <v>0</v>
      </c>
      <c r="O4" s="17">
        <v>1</v>
      </c>
      <c r="P4" s="17">
        <v>1</v>
      </c>
      <c r="Q4" s="17">
        <v>0</v>
      </c>
      <c r="R4" s="17">
        <v>0</v>
      </c>
    </row>
    <row r="5" spans="1:18" ht="15" thickTop="1" x14ac:dyDescent="0.3">
      <c r="A5" s="1" t="s">
        <v>32</v>
      </c>
      <c r="C5" s="18">
        <f>MOD(C3+C4+D2,2)</f>
        <v>0</v>
      </c>
      <c r="D5" s="18">
        <f>MOD(D3+D4+E2,2)</f>
        <v>1</v>
      </c>
      <c r="E5" s="18">
        <f t="shared" ref="E5:Q5" si="1">MOD(E3+E4+F2,2)</f>
        <v>0</v>
      </c>
      <c r="F5" s="18">
        <f t="shared" si="1"/>
        <v>0</v>
      </c>
      <c r="G5" s="19">
        <f t="shared" si="1"/>
        <v>0</v>
      </c>
      <c r="H5" s="19">
        <f t="shared" si="1"/>
        <v>0</v>
      </c>
      <c r="I5" s="19">
        <f t="shared" si="1"/>
        <v>1</v>
      </c>
      <c r="J5" s="19">
        <f t="shared" si="1"/>
        <v>1</v>
      </c>
      <c r="K5" s="20">
        <f t="shared" si="1"/>
        <v>0</v>
      </c>
      <c r="L5" s="20">
        <f t="shared" si="1"/>
        <v>0</v>
      </c>
      <c r="M5" s="20">
        <f t="shared" si="1"/>
        <v>1</v>
      </c>
      <c r="N5" s="20">
        <f t="shared" si="1"/>
        <v>1</v>
      </c>
      <c r="O5" s="21">
        <f t="shared" si="1"/>
        <v>0</v>
      </c>
      <c r="P5" s="21">
        <f t="shared" si="1"/>
        <v>1</v>
      </c>
      <c r="Q5" s="21">
        <f t="shared" si="1"/>
        <v>0</v>
      </c>
      <c r="R5" s="21">
        <f>MOD(R3+R4,2)</f>
        <v>1</v>
      </c>
    </row>
    <row r="6" spans="1:18" x14ac:dyDescent="0.3">
      <c r="A6" s="1"/>
    </row>
    <row r="7" spans="1:18" x14ac:dyDescent="0.3">
      <c r="A7" s="1" t="s">
        <v>33</v>
      </c>
      <c r="B7" s="1">
        <f>C2</f>
        <v>1</v>
      </c>
    </row>
    <row r="8" spans="1:18" x14ac:dyDescent="0.3">
      <c r="A8" s="1" t="s">
        <v>34</v>
      </c>
      <c r="B8" s="1">
        <f>MOD(COUNTIF(K5:R5,"=1"),2)</f>
        <v>0</v>
      </c>
    </row>
    <row r="9" spans="1:18" x14ac:dyDescent="0.3">
      <c r="A9" s="1" t="s">
        <v>35</v>
      </c>
      <c r="B9" s="1">
        <f>P2</f>
        <v>0</v>
      </c>
    </row>
    <row r="10" spans="1:18" x14ac:dyDescent="0.3">
      <c r="A10" s="1" t="s">
        <v>36</v>
      </c>
      <c r="B10" s="1">
        <f>IF(COUNTIF(C5:R5,"=1")=0,1,0)</f>
        <v>0</v>
      </c>
    </row>
    <row r="11" spans="1:18" x14ac:dyDescent="0.3">
      <c r="A11" s="1" t="s">
        <v>37</v>
      </c>
      <c r="B11" s="1">
        <f>C5</f>
        <v>0</v>
      </c>
    </row>
    <row r="12" spans="1:18" x14ac:dyDescent="0.3">
      <c r="A12" s="1" t="s">
        <v>38</v>
      </c>
      <c r="B12" s="1">
        <f>MOD(C2+D2,2)</f>
        <v>1</v>
      </c>
    </row>
    <row r="13" spans="1:18" x14ac:dyDescent="0.3">
      <c r="A13" s="1"/>
      <c r="B13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2B66-653A-447B-AABF-FB75CE8F01B2}">
  <dimension ref="A1:R13"/>
  <sheetViews>
    <sheetView workbookViewId="0">
      <selection activeCell="C5" sqref="C5"/>
    </sheetView>
  </sheetViews>
  <sheetFormatPr defaultRowHeight="14.4" x14ac:dyDescent="0.3"/>
  <cols>
    <col min="2" max="19" width="4.21875" customWidth="1"/>
  </cols>
  <sheetData>
    <row r="1" spans="1:18" x14ac:dyDescent="0.3">
      <c r="A1" s="1"/>
    </row>
    <row r="2" spans="1:18" x14ac:dyDescent="0.3">
      <c r="A2" s="1" t="s">
        <v>28</v>
      </c>
      <c r="C2" s="22">
        <f t="shared" ref="C2:Q2" si="0">IF(C3+C4+D2&gt;=2,1,0)</f>
        <v>0</v>
      </c>
      <c r="D2" s="22">
        <f t="shared" si="0"/>
        <v>0</v>
      </c>
      <c r="E2" s="22">
        <f t="shared" si="0"/>
        <v>1</v>
      </c>
      <c r="F2" s="22">
        <f t="shared" si="0"/>
        <v>1</v>
      </c>
      <c r="G2" s="22">
        <f t="shared" si="0"/>
        <v>1</v>
      </c>
      <c r="H2" s="22">
        <f t="shared" si="0"/>
        <v>1</v>
      </c>
      <c r="I2" s="22">
        <f t="shared" si="0"/>
        <v>1</v>
      </c>
      <c r="J2" s="22">
        <f t="shared" si="0"/>
        <v>1</v>
      </c>
      <c r="K2" s="22">
        <f t="shared" si="0"/>
        <v>0</v>
      </c>
      <c r="L2" s="22">
        <f t="shared" si="0"/>
        <v>1</v>
      </c>
      <c r="M2" s="22">
        <f t="shared" si="0"/>
        <v>0</v>
      </c>
      <c r="N2" s="22">
        <f t="shared" si="0"/>
        <v>1</v>
      </c>
      <c r="O2" s="22">
        <f t="shared" si="0"/>
        <v>1</v>
      </c>
      <c r="P2" s="22">
        <f t="shared" si="0"/>
        <v>0</v>
      </c>
      <c r="Q2" s="22">
        <f t="shared" si="0"/>
        <v>0</v>
      </c>
      <c r="R2" s="22">
        <f>IF(R3+R4&gt;=2,1,0)</f>
        <v>1</v>
      </c>
    </row>
    <row r="3" spans="1:18" x14ac:dyDescent="0.3">
      <c r="A3" s="1" t="s">
        <v>12</v>
      </c>
      <c r="C3" s="3" cm="1">
        <f t="array" ref="C3:R3">Главная!W5:AL5</f>
        <v>0</v>
      </c>
      <c r="D3" s="3">
        <v>0</v>
      </c>
      <c r="E3" s="3">
        <v>1</v>
      </c>
      <c r="F3" s="3">
        <v>0</v>
      </c>
      <c r="G3" s="4">
        <v>1</v>
      </c>
      <c r="H3" s="4">
        <v>0</v>
      </c>
      <c r="I3" s="4">
        <v>1</v>
      </c>
      <c r="J3" s="4">
        <v>1</v>
      </c>
      <c r="K3" s="5">
        <v>0</v>
      </c>
      <c r="L3" s="5">
        <v>1</v>
      </c>
      <c r="M3" s="5">
        <v>0</v>
      </c>
      <c r="N3" s="5">
        <v>1</v>
      </c>
      <c r="O3" s="6">
        <v>1</v>
      </c>
      <c r="P3" s="6">
        <v>1</v>
      </c>
      <c r="Q3" s="6">
        <v>0</v>
      </c>
      <c r="R3" s="6">
        <v>1</v>
      </c>
    </row>
    <row r="4" spans="1:18" ht="15" thickBot="1" x14ac:dyDescent="0.35">
      <c r="A4" s="1" t="s">
        <v>31</v>
      </c>
      <c r="C4" s="14" cm="1">
        <f t="array" ref="C4:R4">Главная!W19:AL19</f>
        <v>1</v>
      </c>
      <c r="D4" s="14">
        <v>0</v>
      </c>
      <c r="E4" s="14">
        <v>1</v>
      </c>
      <c r="F4" s="14">
        <v>1</v>
      </c>
      <c r="G4" s="15">
        <v>0</v>
      </c>
      <c r="H4" s="15">
        <v>1</v>
      </c>
      <c r="I4" s="15">
        <v>1</v>
      </c>
      <c r="J4" s="15">
        <v>1</v>
      </c>
      <c r="K4" s="16">
        <v>0</v>
      </c>
      <c r="L4" s="16">
        <v>1</v>
      </c>
      <c r="M4" s="16">
        <v>0</v>
      </c>
      <c r="N4" s="16">
        <v>0</v>
      </c>
      <c r="O4" s="17">
        <v>1</v>
      </c>
      <c r="P4" s="17">
        <v>0</v>
      </c>
      <c r="Q4" s="17">
        <v>0</v>
      </c>
      <c r="R4" s="17">
        <v>1</v>
      </c>
    </row>
    <row r="5" spans="1:18" ht="15" thickTop="1" x14ac:dyDescent="0.3">
      <c r="A5" s="1" t="s">
        <v>32</v>
      </c>
      <c r="C5" s="18">
        <f>MOD(C3+C4+D2,2)</f>
        <v>1</v>
      </c>
      <c r="D5" s="18">
        <f>MOD(D3+D4+E2,2)</f>
        <v>1</v>
      </c>
      <c r="E5" s="18">
        <f t="shared" ref="E5:Q5" si="1">MOD(E3+E4+F2,2)</f>
        <v>1</v>
      </c>
      <c r="F5" s="18">
        <f t="shared" si="1"/>
        <v>0</v>
      </c>
      <c r="G5" s="19">
        <f t="shared" si="1"/>
        <v>0</v>
      </c>
      <c r="H5" s="19">
        <f t="shared" si="1"/>
        <v>0</v>
      </c>
      <c r="I5" s="19">
        <f t="shared" si="1"/>
        <v>1</v>
      </c>
      <c r="J5" s="19">
        <f t="shared" si="1"/>
        <v>0</v>
      </c>
      <c r="K5" s="20">
        <f t="shared" si="1"/>
        <v>1</v>
      </c>
      <c r="L5" s="20">
        <f t="shared" si="1"/>
        <v>0</v>
      </c>
      <c r="M5" s="20">
        <f t="shared" si="1"/>
        <v>1</v>
      </c>
      <c r="N5" s="20">
        <f t="shared" si="1"/>
        <v>0</v>
      </c>
      <c r="O5" s="21">
        <f t="shared" si="1"/>
        <v>0</v>
      </c>
      <c r="P5" s="21">
        <f t="shared" si="1"/>
        <v>1</v>
      </c>
      <c r="Q5" s="21">
        <f t="shared" si="1"/>
        <v>1</v>
      </c>
      <c r="R5" s="21">
        <f>MOD(R3+R4,2)</f>
        <v>0</v>
      </c>
    </row>
    <row r="6" spans="1:18" x14ac:dyDescent="0.3">
      <c r="A6" s="1"/>
    </row>
    <row r="7" spans="1:18" x14ac:dyDescent="0.3">
      <c r="A7" s="1" t="s">
        <v>33</v>
      </c>
      <c r="B7" s="1">
        <f>C2</f>
        <v>0</v>
      </c>
    </row>
    <row r="8" spans="1:18" x14ac:dyDescent="0.3">
      <c r="A8" s="1" t="s">
        <v>34</v>
      </c>
      <c r="B8" s="1">
        <f>MOD(COUNTIF(K5:R5,"=1"),2)</f>
        <v>0</v>
      </c>
    </row>
    <row r="9" spans="1:18" x14ac:dyDescent="0.3">
      <c r="A9" s="1" t="s">
        <v>35</v>
      </c>
      <c r="B9" s="1">
        <f>P2</f>
        <v>0</v>
      </c>
    </row>
    <row r="10" spans="1:18" x14ac:dyDescent="0.3">
      <c r="A10" s="1" t="s">
        <v>36</v>
      </c>
      <c r="B10" s="1">
        <f>IF(COUNTIF(C5:R5,"=1")=0,1,0)</f>
        <v>0</v>
      </c>
    </row>
    <row r="11" spans="1:18" x14ac:dyDescent="0.3">
      <c r="A11" s="1" t="s">
        <v>37</v>
      </c>
      <c r="B11" s="1">
        <f>C5</f>
        <v>1</v>
      </c>
    </row>
    <row r="12" spans="1:18" x14ac:dyDescent="0.3">
      <c r="A12" s="1" t="s">
        <v>38</v>
      </c>
      <c r="B12" s="1">
        <f>MOD(C2+D2,2)</f>
        <v>0</v>
      </c>
    </row>
    <row r="13" spans="1:18" x14ac:dyDescent="0.3">
      <c r="A13" s="1"/>
      <c r="B13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773A-EFE8-47A5-90E3-B0455004D2C4}">
  <dimension ref="A1:R13"/>
  <sheetViews>
    <sheetView workbookViewId="0">
      <selection activeCell="T30" sqref="T30"/>
    </sheetView>
  </sheetViews>
  <sheetFormatPr defaultRowHeight="14.4" x14ac:dyDescent="0.3"/>
  <cols>
    <col min="2" max="19" width="4.21875" customWidth="1"/>
  </cols>
  <sheetData>
    <row r="1" spans="1:18" x14ac:dyDescent="0.3">
      <c r="A1" s="1"/>
    </row>
    <row r="2" spans="1:18" x14ac:dyDescent="0.3">
      <c r="A2" s="1" t="s">
        <v>28</v>
      </c>
      <c r="C2" s="22">
        <f t="shared" ref="C2:Q2" si="0">IF(C3+C4+D2&gt;=2,1,0)</f>
        <v>1</v>
      </c>
      <c r="D2" s="22">
        <f t="shared" si="0"/>
        <v>1</v>
      </c>
      <c r="E2" s="22">
        <f t="shared" si="0"/>
        <v>1</v>
      </c>
      <c r="F2" s="22">
        <f t="shared" si="0"/>
        <v>0</v>
      </c>
      <c r="G2" s="22">
        <f t="shared" si="0"/>
        <v>0</v>
      </c>
      <c r="H2" s="22">
        <f t="shared" si="0"/>
        <v>0</v>
      </c>
      <c r="I2" s="22">
        <f t="shared" si="0"/>
        <v>0</v>
      </c>
      <c r="J2" s="22">
        <f t="shared" si="0"/>
        <v>0</v>
      </c>
      <c r="K2" s="22">
        <f t="shared" si="0"/>
        <v>0</v>
      </c>
      <c r="L2" s="22">
        <f t="shared" si="0"/>
        <v>0</v>
      </c>
      <c r="M2" s="22">
        <f t="shared" si="0"/>
        <v>0</v>
      </c>
      <c r="N2" s="22">
        <f t="shared" si="0"/>
        <v>0</v>
      </c>
      <c r="O2" s="22">
        <f t="shared" si="0"/>
        <v>0</v>
      </c>
      <c r="P2" s="22">
        <f t="shared" si="0"/>
        <v>1</v>
      </c>
      <c r="Q2" s="22">
        <f t="shared" si="0"/>
        <v>0</v>
      </c>
      <c r="R2" s="22">
        <f>IF(R3+R4&gt;=2,1,0)</f>
        <v>0</v>
      </c>
    </row>
    <row r="3" spans="1:18" x14ac:dyDescent="0.3">
      <c r="A3" s="1" t="s">
        <v>12</v>
      </c>
      <c r="C3" s="3" cm="1">
        <f t="array" ref="C3:R3">Главная!W25:AL25</f>
        <v>1</v>
      </c>
      <c r="D3" s="3">
        <v>1</v>
      </c>
      <c r="E3" s="3">
        <v>1</v>
      </c>
      <c r="F3" s="3">
        <v>0</v>
      </c>
      <c r="G3" s="4">
        <v>0</v>
      </c>
      <c r="H3" s="4">
        <v>0</v>
      </c>
      <c r="I3" s="4">
        <v>1</v>
      </c>
      <c r="J3" s="4">
        <v>0</v>
      </c>
      <c r="K3" s="5">
        <v>1</v>
      </c>
      <c r="L3" s="5">
        <v>0</v>
      </c>
      <c r="M3" s="5">
        <v>1</v>
      </c>
      <c r="N3" s="5">
        <v>0</v>
      </c>
      <c r="O3" s="6">
        <v>0</v>
      </c>
      <c r="P3" s="6">
        <v>1</v>
      </c>
      <c r="Q3" s="6">
        <v>1</v>
      </c>
      <c r="R3" s="6">
        <v>0</v>
      </c>
    </row>
    <row r="4" spans="1:18" ht="15" thickBot="1" x14ac:dyDescent="0.35">
      <c r="A4" s="1" t="s">
        <v>31</v>
      </c>
      <c r="C4" s="14" cm="1">
        <f t="array" ref="C4:R4">Главная!W9:AL9</f>
        <v>0</v>
      </c>
      <c r="D4" s="14">
        <v>1</v>
      </c>
      <c r="E4" s="14">
        <v>1</v>
      </c>
      <c r="F4" s="14">
        <v>1</v>
      </c>
      <c r="G4" s="15">
        <v>0</v>
      </c>
      <c r="H4" s="15">
        <v>1</v>
      </c>
      <c r="I4" s="15">
        <v>0</v>
      </c>
      <c r="J4" s="15">
        <v>0</v>
      </c>
      <c r="K4" s="16">
        <v>0</v>
      </c>
      <c r="L4" s="16">
        <v>0</v>
      </c>
      <c r="M4" s="16">
        <v>0</v>
      </c>
      <c r="N4" s="16">
        <v>1</v>
      </c>
      <c r="O4" s="17">
        <v>0</v>
      </c>
      <c r="P4" s="17">
        <v>1</v>
      </c>
      <c r="Q4" s="17">
        <v>0</v>
      </c>
      <c r="R4" s="17">
        <v>0</v>
      </c>
    </row>
    <row r="5" spans="1:18" ht="15" thickTop="1" x14ac:dyDescent="0.3">
      <c r="A5" s="1" t="s">
        <v>32</v>
      </c>
      <c r="C5" s="18">
        <f>MOD(C3+C4+D2,2)</f>
        <v>0</v>
      </c>
      <c r="D5" s="18">
        <f>MOD(D3+D4+E2,2)</f>
        <v>1</v>
      </c>
      <c r="E5" s="18">
        <f t="shared" ref="E5:Q5" si="1">MOD(E3+E4+F2,2)</f>
        <v>0</v>
      </c>
      <c r="F5" s="18">
        <f t="shared" si="1"/>
        <v>1</v>
      </c>
      <c r="G5" s="19">
        <f t="shared" si="1"/>
        <v>0</v>
      </c>
      <c r="H5" s="19">
        <f t="shared" si="1"/>
        <v>1</v>
      </c>
      <c r="I5" s="19">
        <f t="shared" si="1"/>
        <v>1</v>
      </c>
      <c r="J5" s="19">
        <f t="shared" si="1"/>
        <v>0</v>
      </c>
      <c r="K5" s="20">
        <f t="shared" si="1"/>
        <v>1</v>
      </c>
      <c r="L5" s="20">
        <f t="shared" si="1"/>
        <v>0</v>
      </c>
      <c r="M5" s="20">
        <f t="shared" si="1"/>
        <v>1</v>
      </c>
      <c r="N5" s="20">
        <f t="shared" si="1"/>
        <v>1</v>
      </c>
      <c r="O5" s="21">
        <f t="shared" si="1"/>
        <v>1</v>
      </c>
      <c r="P5" s="21">
        <f t="shared" si="1"/>
        <v>0</v>
      </c>
      <c r="Q5" s="21">
        <f t="shared" si="1"/>
        <v>1</v>
      </c>
      <c r="R5" s="21">
        <f>MOD(R3+R4,2)</f>
        <v>0</v>
      </c>
    </row>
    <row r="6" spans="1:18" x14ac:dyDescent="0.3">
      <c r="A6" s="1"/>
    </row>
    <row r="7" spans="1:18" x14ac:dyDescent="0.3">
      <c r="A7" s="1" t="s">
        <v>33</v>
      </c>
      <c r="B7" s="1">
        <f>C2</f>
        <v>1</v>
      </c>
    </row>
    <row r="8" spans="1:18" x14ac:dyDescent="0.3">
      <c r="A8" s="1" t="s">
        <v>34</v>
      </c>
      <c r="B8" s="1">
        <f>MOD(COUNTIF(K5:R5,"=1"),2)</f>
        <v>1</v>
      </c>
    </row>
    <row r="9" spans="1:18" x14ac:dyDescent="0.3">
      <c r="A9" s="1" t="s">
        <v>35</v>
      </c>
      <c r="B9" s="1">
        <f>P2</f>
        <v>1</v>
      </c>
    </row>
    <row r="10" spans="1:18" x14ac:dyDescent="0.3">
      <c r="A10" s="1" t="s">
        <v>36</v>
      </c>
      <c r="B10" s="1">
        <f>IF(COUNTIF(C5:R5,"=1")=0,1,0)</f>
        <v>0</v>
      </c>
    </row>
    <row r="11" spans="1:18" x14ac:dyDescent="0.3">
      <c r="A11" s="1" t="s">
        <v>37</v>
      </c>
      <c r="B11" s="1">
        <f>C5</f>
        <v>0</v>
      </c>
    </row>
    <row r="12" spans="1:18" x14ac:dyDescent="0.3">
      <c r="A12" s="1" t="s">
        <v>38</v>
      </c>
      <c r="B12" s="1">
        <f>MOD(C2+D2,2)</f>
        <v>0</v>
      </c>
    </row>
    <row r="13" spans="1:18" x14ac:dyDescent="0.3">
      <c r="A13" s="1"/>
      <c r="B13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277B-68A6-4615-9FE3-5F7BAF24A5FF}">
  <dimension ref="A2:R13"/>
  <sheetViews>
    <sheetView zoomScaleNormal="100" workbookViewId="0">
      <selection activeCell="S13" sqref="A1:S13"/>
    </sheetView>
  </sheetViews>
  <sheetFormatPr defaultRowHeight="14.4" x14ac:dyDescent="0.3"/>
  <cols>
    <col min="1" max="1" width="8.88671875" style="1"/>
    <col min="2" max="19" width="4.21875" customWidth="1"/>
  </cols>
  <sheetData>
    <row r="2" spans="1:18" x14ac:dyDescent="0.3">
      <c r="A2" s="1" t="s">
        <v>28</v>
      </c>
      <c r="C2" s="22">
        <f t="shared" ref="B2:Q2" si="0">IF(C3+C4+D2&gt;=2,1,0)</f>
        <v>1</v>
      </c>
      <c r="D2" s="22">
        <f t="shared" si="0"/>
        <v>1</v>
      </c>
      <c r="E2" s="22">
        <f t="shared" si="0"/>
        <v>1</v>
      </c>
      <c r="F2" s="22">
        <f t="shared" si="0"/>
        <v>1</v>
      </c>
      <c r="G2" s="22">
        <f t="shared" si="0"/>
        <v>1</v>
      </c>
      <c r="H2" s="22">
        <f t="shared" si="0"/>
        <v>1</v>
      </c>
      <c r="I2" s="22">
        <f t="shared" si="0"/>
        <v>1</v>
      </c>
      <c r="J2" s="22">
        <f t="shared" si="0"/>
        <v>0</v>
      </c>
      <c r="K2" s="22">
        <f t="shared" si="0"/>
        <v>0</v>
      </c>
      <c r="L2" s="22">
        <f t="shared" si="0"/>
        <v>0</v>
      </c>
      <c r="M2" s="22">
        <f t="shared" si="0"/>
        <v>0</v>
      </c>
      <c r="N2" s="22">
        <f t="shared" si="0"/>
        <v>0</v>
      </c>
      <c r="O2" s="22">
        <f t="shared" si="0"/>
        <v>0</v>
      </c>
      <c r="P2" s="22">
        <f t="shared" si="0"/>
        <v>0</v>
      </c>
      <c r="Q2" s="22">
        <f t="shared" si="0"/>
        <v>0</v>
      </c>
      <c r="R2" s="22">
        <f>IF(R3+R4&gt;=2,1,0)</f>
        <v>0</v>
      </c>
    </row>
    <row r="3" spans="1:18" x14ac:dyDescent="0.3">
      <c r="A3" s="1" t="s">
        <v>12</v>
      </c>
      <c r="C3" s="3">
        <v>1</v>
      </c>
      <c r="D3" s="3">
        <v>1</v>
      </c>
      <c r="E3" s="3">
        <v>1</v>
      </c>
      <c r="F3" s="3">
        <v>1</v>
      </c>
      <c r="G3" s="4">
        <v>0</v>
      </c>
      <c r="H3" s="4">
        <v>0</v>
      </c>
      <c r="I3" s="4">
        <v>1</v>
      </c>
      <c r="J3" s="4">
        <v>1</v>
      </c>
      <c r="K3" s="5">
        <v>1</v>
      </c>
      <c r="L3" s="5">
        <v>0</v>
      </c>
      <c r="M3" s="5">
        <v>1</v>
      </c>
      <c r="N3" s="5">
        <v>0</v>
      </c>
      <c r="O3" s="6">
        <v>1</v>
      </c>
      <c r="P3" s="6">
        <v>1</v>
      </c>
      <c r="Q3" s="6">
        <v>0</v>
      </c>
      <c r="R3" s="6">
        <v>0</v>
      </c>
    </row>
    <row r="4" spans="1:18" ht="15" thickBot="1" x14ac:dyDescent="0.35">
      <c r="A4" s="1" t="s">
        <v>31</v>
      </c>
      <c r="C4" s="14">
        <v>1</v>
      </c>
      <c r="D4" s="14">
        <v>1</v>
      </c>
      <c r="E4" s="14">
        <v>1</v>
      </c>
      <c r="F4" s="14">
        <v>0</v>
      </c>
      <c r="G4" s="15">
        <v>1</v>
      </c>
      <c r="H4" s="15">
        <v>1</v>
      </c>
      <c r="I4" s="15">
        <v>1</v>
      </c>
      <c r="J4" s="15">
        <v>0</v>
      </c>
      <c r="K4" s="16">
        <v>0</v>
      </c>
      <c r="L4" s="16">
        <v>0</v>
      </c>
      <c r="M4" s="16">
        <v>0</v>
      </c>
      <c r="N4" s="16">
        <v>0</v>
      </c>
      <c r="O4" s="17">
        <v>0</v>
      </c>
      <c r="P4" s="17">
        <v>0</v>
      </c>
      <c r="Q4" s="17">
        <v>0</v>
      </c>
      <c r="R4" s="17">
        <v>1</v>
      </c>
    </row>
    <row r="5" spans="1:18" ht="15" thickTop="1" x14ac:dyDescent="0.3">
      <c r="A5" s="1" t="s">
        <v>32</v>
      </c>
      <c r="C5" s="18">
        <f>MOD(C3+C4+D2,2)</f>
        <v>1</v>
      </c>
      <c r="D5" s="18">
        <f>MOD(D3+D4+E2,2)</f>
        <v>1</v>
      </c>
      <c r="E5" s="18">
        <f t="shared" ref="D5:Q5" si="1">MOD(E3+E4+F2,2)</f>
        <v>1</v>
      </c>
      <c r="F5" s="18">
        <f t="shared" si="1"/>
        <v>0</v>
      </c>
      <c r="G5" s="19">
        <f t="shared" si="1"/>
        <v>0</v>
      </c>
      <c r="H5" s="19">
        <f t="shared" si="1"/>
        <v>0</v>
      </c>
      <c r="I5" s="19">
        <f t="shared" si="1"/>
        <v>0</v>
      </c>
      <c r="J5" s="19">
        <f t="shared" si="1"/>
        <v>1</v>
      </c>
      <c r="K5" s="20">
        <f t="shared" si="1"/>
        <v>1</v>
      </c>
      <c r="L5" s="20">
        <f t="shared" si="1"/>
        <v>0</v>
      </c>
      <c r="M5" s="20">
        <f t="shared" si="1"/>
        <v>1</v>
      </c>
      <c r="N5" s="20">
        <f t="shared" si="1"/>
        <v>0</v>
      </c>
      <c r="O5" s="21">
        <f t="shared" si="1"/>
        <v>1</v>
      </c>
      <c r="P5" s="21">
        <f t="shared" si="1"/>
        <v>1</v>
      </c>
      <c r="Q5" s="21">
        <f t="shared" si="1"/>
        <v>0</v>
      </c>
      <c r="R5" s="21">
        <f>MOD(R3+R4,2)</f>
        <v>1</v>
      </c>
    </row>
    <row r="7" spans="1:18" x14ac:dyDescent="0.3">
      <c r="A7" s="1" t="s">
        <v>33</v>
      </c>
      <c r="B7" s="1">
        <f>C2</f>
        <v>1</v>
      </c>
    </row>
    <row r="8" spans="1:18" x14ac:dyDescent="0.3">
      <c r="A8" s="1" t="s">
        <v>34</v>
      </c>
      <c r="B8" s="1">
        <f>MOD(COUNTIF(K5:R5,"=1"),2)</f>
        <v>1</v>
      </c>
    </row>
    <row r="9" spans="1:18" x14ac:dyDescent="0.3">
      <c r="A9" s="1" t="s">
        <v>35</v>
      </c>
      <c r="B9" s="1">
        <f>P2</f>
        <v>0</v>
      </c>
    </row>
    <row r="10" spans="1:18" x14ac:dyDescent="0.3">
      <c r="A10" s="1" t="s">
        <v>36</v>
      </c>
      <c r="B10" s="1">
        <f>IF(COUNTIF(C5:R5,"=1")=0,1,0)</f>
        <v>0</v>
      </c>
    </row>
    <row r="11" spans="1:18" x14ac:dyDescent="0.3">
      <c r="A11" s="1" t="s">
        <v>37</v>
      </c>
      <c r="B11" s="1">
        <f>C5</f>
        <v>1</v>
      </c>
    </row>
    <row r="12" spans="1:18" x14ac:dyDescent="0.3">
      <c r="A12" s="1" t="s">
        <v>38</v>
      </c>
      <c r="B12" s="1">
        <f>MOD(C2+D2,2)</f>
        <v>0</v>
      </c>
    </row>
    <row r="13" spans="1:18" x14ac:dyDescent="0.3">
      <c r="B13" s="23"/>
    </row>
  </sheetData>
  <pageMargins left="0.7" right="0.7" top="0.75" bottom="0.75" header="0.3" footer="0.3"/>
  <pageSetup paperSize="9" orientation="portrait" r:id="rId1"/>
  <headerFooter>
    <oddHeader>&amp;LЛищенер Кирилл Сергеевич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Главная</vt:lpstr>
      <vt:lpstr>B1+B2</vt:lpstr>
      <vt:lpstr>B2+B3</vt:lpstr>
      <vt:lpstr>B2+B7</vt:lpstr>
      <vt:lpstr>B7+B8</vt:lpstr>
      <vt:lpstr>B8+B9</vt:lpstr>
      <vt:lpstr>B1+B8</vt:lpstr>
      <vt:lpstr>B11+B3</vt:lpstr>
      <vt:lpstr>Шаблон сложения двух чисел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Лищенер</dc:creator>
  <cp:lastModifiedBy>Лищенер Кирилл Сергеевич</cp:lastModifiedBy>
  <dcterms:created xsi:type="dcterms:W3CDTF">2015-06-05T18:19:34Z</dcterms:created>
  <dcterms:modified xsi:type="dcterms:W3CDTF">2025-11-30T19:50:03Z</dcterms:modified>
</cp:coreProperties>
</file>